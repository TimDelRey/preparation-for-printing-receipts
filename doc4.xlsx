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tim/MyProjects/script_for_receipts/"/>
    </mc:Choice>
  </mc:AlternateContent>
  <xr:revisionPtr revIDLastSave="0" documentId="8_{3A092865-DB4D-ED4E-A255-07DA431B648A}" xr6:coauthVersionLast="47" xr6:coauthVersionMax="47" xr10:uidLastSave="{00000000-0000-0000-0000-000000000000}"/>
  <bookViews>
    <workbookView xWindow="0" yWindow="620" windowWidth="28800" windowHeight="15840" tabRatio="779" activeTab="1" xr2:uid="{64FB8640-6BFD-2A45-ACE8-9D08ED57921C}"/>
  </bookViews>
  <sheets>
    <sheet name="Arhive" sheetId="4" r:id="rId1"/>
    <sheet name="Calc" sheetId="12" r:id="rId2"/>
  </sheets>
  <definedNames>
    <definedName name="_xlnm._FilterDatabase" localSheetId="0" hidden="1">Arhive!$A$1:$AT$83</definedName>
    <definedName name="_xlnm._FilterDatabase" localSheetId="1" hidden="1">Calc!$B$9:$V$94</definedName>
    <definedName name="_xlnm.Print_Titles" localSheetId="0">Arhive!#REF!</definedName>
    <definedName name="_xlnm.Print_Titles" localSheetId="1">Calc!$6:$8</definedName>
    <definedName name="_xlnm.Print_Area" localSheetId="1">Calc!$A$1:$W$95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6" i="4" l="1"/>
  <c r="F34" i="4"/>
  <c r="U42" i="12" s="1"/>
  <c r="T44" i="12"/>
  <c r="T42" i="12"/>
  <c r="T16" i="12"/>
  <c r="T79" i="12"/>
  <c r="T51" i="12"/>
  <c r="T49" i="12"/>
  <c r="T35" i="12"/>
  <c r="B94" i="12"/>
  <c r="T75" i="12"/>
  <c r="T64" i="12"/>
  <c r="T82" i="12"/>
  <c r="U64" i="12"/>
  <c r="T47" i="12"/>
  <c r="T81" i="12"/>
  <c r="T68" i="12"/>
  <c r="T66" i="12"/>
  <c r="T61" i="12"/>
  <c r="T54" i="12"/>
  <c r="T53" i="12"/>
  <c r="T46" i="12"/>
  <c r="D37" i="4"/>
  <c r="T20" i="12"/>
  <c r="B49" i="12"/>
  <c r="B51" i="12"/>
  <c r="B46" i="12"/>
  <c r="B54" i="12"/>
  <c r="B53" i="12"/>
  <c r="B63" i="12"/>
  <c r="B74" i="12"/>
  <c r="B81" i="12"/>
  <c r="B84" i="12"/>
  <c r="B86" i="12"/>
  <c r="B88" i="12"/>
  <c r="B90" i="12"/>
  <c r="B82" i="12"/>
  <c r="B77" i="12"/>
  <c r="B79" i="12"/>
  <c r="B75" i="12"/>
  <c r="B66" i="12"/>
  <c r="B68" i="12"/>
  <c r="B70" i="12"/>
  <c r="B72" i="12"/>
  <c r="B64" i="12"/>
  <c r="B57" i="12"/>
  <c r="B59" i="12"/>
  <c r="B61" i="12"/>
  <c r="B55" i="12"/>
  <c r="B47" i="12"/>
  <c r="B44" i="12"/>
  <c r="B42" i="12"/>
  <c r="B41" i="12"/>
  <c r="B31" i="12"/>
  <c r="B33" i="12"/>
  <c r="B35" i="12"/>
  <c r="B37" i="12"/>
  <c r="B39" i="12"/>
  <c r="B23" i="12"/>
  <c r="B25" i="12"/>
  <c r="B27" i="12"/>
  <c r="B29" i="12"/>
  <c r="B21" i="12"/>
  <c r="B20" i="12"/>
  <c r="B18" i="12"/>
  <c r="B16" i="12"/>
  <c r="B14" i="12"/>
  <c r="B12" i="12"/>
  <c r="B10" i="12"/>
  <c r="B1" i="4"/>
  <c r="C2" i="4"/>
  <c r="T27" i="12"/>
  <c r="T39" i="12"/>
  <c r="T90" i="12"/>
  <c r="T23" i="12"/>
  <c r="T31" i="12"/>
  <c r="T12" i="12"/>
  <c r="T63" i="12"/>
  <c r="T77" i="12"/>
  <c r="T72" i="12"/>
  <c r="T59" i="12"/>
  <c r="T57" i="12"/>
  <c r="T41" i="12"/>
  <c r="T37" i="12"/>
  <c r="T33" i="12"/>
  <c r="T18" i="12"/>
  <c r="T10" i="12"/>
  <c r="U51" i="12"/>
  <c r="D51" i="12"/>
  <c r="D52" i="12"/>
  <c r="C51" i="12"/>
  <c r="C43" i="4"/>
  <c r="D43" i="4"/>
  <c r="G51" i="12" s="1"/>
  <c r="H51" i="12" s="1"/>
  <c r="C44" i="4"/>
  <c r="D44" i="4"/>
  <c r="D71" i="4"/>
  <c r="D72" i="4"/>
  <c r="C71" i="4"/>
  <c r="F79" i="12" s="1"/>
  <c r="C72" i="4"/>
  <c r="F80" i="12" s="1"/>
  <c r="U79" i="12"/>
  <c r="D79" i="12"/>
  <c r="D80" i="12" s="1"/>
  <c r="C79" i="12"/>
  <c r="B5" i="12"/>
  <c r="B4" i="12"/>
  <c r="B3" i="12"/>
  <c r="B2" i="12"/>
  <c r="C37" i="4"/>
  <c r="F63" i="12"/>
  <c r="T86" i="12"/>
  <c r="T74" i="12"/>
  <c r="T55" i="12"/>
  <c r="C27" i="4"/>
  <c r="D27" i="4"/>
  <c r="G35" i="12" s="1"/>
  <c r="C28" i="4"/>
  <c r="D28" i="4"/>
  <c r="C36" i="4"/>
  <c r="D36" i="4"/>
  <c r="T25" i="12"/>
  <c r="T14" i="12"/>
  <c r="D82" i="12"/>
  <c r="D83" i="12" s="1"/>
  <c r="C53" i="12"/>
  <c r="D53" i="12"/>
  <c r="U53" i="12"/>
  <c r="U44" i="12"/>
  <c r="T70" i="12"/>
  <c r="T21" i="12"/>
  <c r="C31" i="4"/>
  <c r="D31" i="4"/>
  <c r="C32" i="4"/>
  <c r="D32" i="4"/>
  <c r="C33" i="4"/>
  <c r="D33" i="4"/>
  <c r="G41" i="12" s="1"/>
  <c r="C82" i="4"/>
  <c r="F90" i="12" s="1"/>
  <c r="H90" i="12" s="1"/>
  <c r="D82" i="4"/>
  <c r="G83" i="12"/>
  <c r="C83" i="4"/>
  <c r="D83" i="4"/>
  <c r="G91" i="12" s="1"/>
  <c r="C34" i="4"/>
  <c r="D34" i="4"/>
  <c r="C35" i="4"/>
  <c r="F43" i="12" s="1"/>
  <c r="D35" i="4"/>
  <c r="G43" i="12" s="1"/>
  <c r="C38" i="4"/>
  <c r="F46" i="12" s="1"/>
  <c r="H46" i="12" s="1"/>
  <c r="D38" i="4"/>
  <c r="G46" i="12" s="1"/>
  <c r="C39" i="4"/>
  <c r="F48" i="12"/>
  <c r="D39" i="4"/>
  <c r="G47" i="12" s="1"/>
  <c r="C40" i="4"/>
  <c r="D40" i="4"/>
  <c r="G48" i="12" s="1"/>
  <c r="G49" i="12"/>
  <c r="C41" i="4"/>
  <c r="D41" i="4"/>
  <c r="C46" i="4"/>
  <c r="F41" i="12"/>
  <c r="D46" i="4"/>
  <c r="C45" i="4"/>
  <c r="F40" i="12"/>
  <c r="H40" i="12" s="1"/>
  <c r="D45" i="4"/>
  <c r="G53" i="12" s="1"/>
  <c r="C47" i="4"/>
  <c r="F55" i="12" s="1"/>
  <c r="H55" i="12" s="1"/>
  <c r="D47" i="4"/>
  <c r="C48" i="4"/>
  <c r="F35" i="12"/>
  <c r="D48" i="4"/>
  <c r="C49" i="4"/>
  <c r="F57" i="12" s="1"/>
  <c r="D49" i="4"/>
  <c r="G57" i="12" s="1"/>
  <c r="C50" i="4"/>
  <c r="D50" i="4"/>
  <c r="G58" i="12" s="1"/>
  <c r="H58" i="12" s="1"/>
  <c r="C51" i="4"/>
  <c r="D51" i="4"/>
  <c r="C52" i="4"/>
  <c r="D52" i="4"/>
  <c r="C53" i="4"/>
  <c r="D53" i="4"/>
  <c r="C54" i="4"/>
  <c r="F62" i="12" s="1"/>
  <c r="H62" i="12" s="1"/>
  <c r="D54" i="4"/>
  <c r="G62" i="12" s="1"/>
  <c r="C55" i="4"/>
  <c r="D55" i="4"/>
  <c r="G63" i="12" s="1"/>
  <c r="H63" i="12" s="1"/>
  <c r="G73" i="12"/>
  <c r="H73" i="12" s="1"/>
  <c r="C56" i="4"/>
  <c r="D56" i="4"/>
  <c r="C57" i="4"/>
  <c r="F53" i="12"/>
  <c r="H53" i="12" s="1"/>
  <c r="D57" i="4"/>
  <c r="G65" i="12" s="1"/>
  <c r="C58" i="4"/>
  <c r="F66" i="12" s="1"/>
  <c r="F54" i="12"/>
  <c r="D58" i="4"/>
  <c r="C59" i="4"/>
  <c r="D59" i="4"/>
  <c r="G67" i="12" s="1"/>
  <c r="G55" i="12"/>
  <c r="C60" i="4"/>
  <c r="D60" i="4"/>
  <c r="C61" i="4"/>
  <c r="D61" i="4"/>
  <c r="G90" i="12"/>
  <c r="C62" i="4"/>
  <c r="F60" i="12"/>
  <c r="H60" i="12"/>
  <c r="D62" i="4"/>
  <c r="G60" i="12"/>
  <c r="C63" i="4"/>
  <c r="D63" i="4"/>
  <c r="G71" i="12" s="1"/>
  <c r="G61" i="12"/>
  <c r="C64" i="4"/>
  <c r="F44" i="12"/>
  <c r="H44" i="12" s="1"/>
  <c r="D64" i="4"/>
  <c r="G72" i="12" s="1"/>
  <c r="C65" i="4"/>
  <c r="F45" i="12"/>
  <c r="H45" i="12" s="1"/>
  <c r="D65" i="4"/>
  <c r="G45" i="12"/>
  <c r="C66" i="4"/>
  <c r="F91" i="12"/>
  <c r="H91" i="12" s="1"/>
  <c r="D66" i="4"/>
  <c r="G74" i="12" s="1"/>
  <c r="H74" i="12" s="1"/>
  <c r="C67" i="4"/>
  <c r="F75" i="12" s="1"/>
  <c r="H75" i="12" s="1"/>
  <c r="D67" i="4"/>
  <c r="G75" i="12" s="1"/>
  <c r="C68" i="4"/>
  <c r="F47" i="12"/>
  <c r="D68" i="4"/>
  <c r="G76" i="12" s="1"/>
  <c r="C69" i="4"/>
  <c r="D69" i="4"/>
  <c r="C70" i="4"/>
  <c r="F78" i="12" s="1"/>
  <c r="D70" i="4"/>
  <c r="G78" i="12" s="1"/>
  <c r="C74" i="4"/>
  <c r="F42" i="12"/>
  <c r="D74" i="4"/>
  <c r="G42" i="12"/>
  <c r="C75" i="4"/>
  <c r="D75" i="4"/>
  <c r="C76" i="4"/>
  <c r="D76" i="4"/>
  <c r="C77" i="4"/>
  <c r="F30" i="12"/>
  <c r="D77" i="4"/>
  <c r="C78" i="4"/>
  <c r="F86" i="12" s="1"/>
  <c r="D78" i="4"/>
  <c r="G69" i="12"/>
  <c r="C79" i="4"/>
  <c r="F87" i="12" s="1"/>
  <c r="D79" i="4"/>
  <c r="G87" i="12" s="1"/>
  <c r="G70" i="12"/>
  <c r="C80" i="4"/>
  <c r="D80" i="4"/>
  <c r="G88" i="12" s="1"/>
  <c r="C81" i="4"/>
  <c r="F89" i="12" s="1"/>
  <c r="D81" i="4"/>
  <c r="G89" i="12" s="1"/>
  <c r="C73" i="4"/>
  <c r="F81" i="12" s="1"/>
  <c r="H81" i="12" s="1"/>
  <c r="D73" i="4"/>
  <c r="G81" i="12"/>
  <c r="U16" i="12"/>
  <c r="C44" i="12"/>
  <c r="D44" i="12"/>
  <c r="D45" i="12"/>
  <c r="T29" i="12"/>
  <c r="U88" i="12"/>
  <c r="U86" i="12"/>
  <c r="U84" i="12"/>
  <c r="U81" i="12"/>
  <c r="U77" i="12"/>
  <c r="U75" i="12"/>
  <c r="U72" i="12"/>
  <c r="U70" i="12"/>
  <c r="U68" i="12"/>
  <c r="U66" i="12"/>
  <c r="U82" i="12"/>
  <c r="U63" i="12"/>
  <c r="U61" i="12"/>
  <c r="U59" i="12"/>
  <c r="U57" i="12"/>
  <c r="U55" i="12"/>
  <c r="U54" i="12"/>
  <c r="U74" i="12"/>
  <c r="U49" i="12"/>
  <c r="U47" i="12"/>
  <c r="U46" i="12"/>
  <c r="U90" i="12"/>
  <c r="U41" i="12"/>
  <c r="U39" i="12"/>
  <c r="U37" i="12"/>
  <c r="U35" i="12"/>
  <c r="U33" i="12"/>
  <c r="U29" i="12"/>
  <c r="U27" i="12"/>
  <c r="U25" i="12"/>
  <c r="U23" i="12"/>
  <c r="U21" i="12"/>
  <c r="U20" i="12"/>
  <c r="U18" i="12"/>
  <c r="U14" i="12"/>
  <c r="U12" i="12"/>
  <c r="U10" i="12"/>
  <c r="U31" i="12"/>
  <c r="T88" i="12"/>
  <c r="T84" i="12"/>
  <c r="D11" i="12"/>
  <c r="D13" i="12"/>
  <c r="D15" i="12"/>
  <c r="D17" i="12"/>
  <c r="D19" i="12"/>
  <c r="D22" i="12"/>
  <c r="C88" i="12"/>
  <c r="C86" i="12"/>
  <c r="C84" i="12"/>
  <c r="C81" i="12"/>
  <c r="C77" i="12"/>
  <c r="C75" i="12"/>
  <c r="C72" i="12"/>
  <c r="C70" i="12"/>
  <c r="C68" i="12"/>
  <c r="C66" i="12"/>
  <c r="C82" i="12"/>
  <c r="C64" i="12"/>
  <c r="C63" i="12"/>
  <c r="C61" i="12"/>
  <c r="C59" i="12"/>
  <c r="C57" i="12"/>
  <c r="C55" i="12"/>
  <c r="C54" i="12"/>
  <c r="C74" i="12"/>
  <c r="C49" i="12"/>
  <c r="C47" i="12"/>
  <c r="C46" i="12"/>
  <c r="C42" i="12"/>
  <c r="C90" i="12"/>
  <c r="C41" i="12"/>
  <c r="C39" i="12"/>
  <c r="C37" i="12"/>
  <c r="C35" i="12"/>
  <c r="C33" i="12"/>
  <c r="C31" i="12"/>
  <c r="C29" i="12"/>
  <c r="C27" i="12"/>
  <c r="C25" i="12"/>
  <c r="C23" i="12"/>
  <c r="C21" i="12"/>
  <c r="C20" i="12"/>
  <c r="C18" i="12"/>
  <c r="C16" i="12"/>
  <c r="C14" i="12"/>
  <c r="C12" i="12"/>
  <c r="C10" i="12"/>
  <c r="D88" i="12"/>
  <c r="D89" i="12" s="1"/>
  <c r="D86" i="12"/>
  <c r="D87" i="12" s="1"/>
  <c r="D84" i="12"/>
  <c r="D85" i="12"/>
  <c r="D81" i="12"/>
  <c r="D77" i="12"/>
  <c r="D78" i="12" s="1"/>
  <c r="D75" i="12"/>
  <c r="D76" i="12"/>
  <c r="D72" i="12"/>
  <c r="D73" i="12"/>
  <c r="D70" i="12"/>
  <c r="D71" i="12"/>
  <c r="D68" i="12"/>
  <c r="D69" i="12" s="1"/>
  <c r="D66" i="12"/>
  <c r="D67" i="12"/>
  <c r="D64" i="12"/>
  <c r="D65" i="12"/>
  <c r="D63" i="12"/>
  <c r="D61" i="12"/>
  <c r="D62" i="12"/>
  <c r="D59" i="12"/>
  <c r="D60" i="12"/>
  <c r="D57" i="12"/>
  <c r="D58" i="12" s="1"/>
  <c r="D55" i="12"/>
  <c r="D56" i="12"/>
  <c r="D54" i="12"/>
  <c r="D74" i="12"/>
  <c r="D49" i="12"/>
  <c r="D50" i="12"/>
  <c r="D47" i="12"/>
  <c r="D48" i="12" s="1"/>
  <c r="D46" i="12"/>
  <c r="D42" i="12"/>
  <c r="D43" i="12"/>
  <c r="D90" i="12"/>
  <c r="D91" i="12" s="1"/>
  <c r="D41" i="12"/>
  <c r="D39" i="12"/>
  <c r="D40" i="12" s="1"/>
  <c r="D37" i="12"/>
  <c r="D38" i="12"/>
  <c r="D35" i="12"/>
  <c r="D36" i="12" s="1"/>
  <c r="D33" i="12"/>
  <c r="D34" i="12"/>
  <c r="D31" i="12"/>
  <c r="D32" i="12" s="1"/>
  <c r="D29" i="12"/>
  <c r="D30" i="12" s="1"/>
  <c r="D27" i="12"/>
  <c r="D28" i="12"/>
  <c r="D25" i="12"/>
  <c r="D26" i="12"/>
  <c r="D23" i="12"/>
  <c r="D24" i="12" s="1"/>
  <c r="C3" i="4"/>
  <c r="F11" i="12" s="1"/>
  <c r="D3" i="4"/>
  <c r="G37" i="12"/>
  <c r="C4" i="4"/>
  <c r="F12" i="12" s="1"/>
  <c r="D4" i="4"/>
  <c r="C5" i="4"/>
  <c r="F13" i="12" s="1"/>
  <c r="H13" i="12" s="1"/>
  <c r="D5" i="4"/>
  <c r="C6" i="4"/>
  <c r="F76" i="12"/>
  <c r="D6" i="4"/>
  <c r="G14" i="12" s="1"/>
  <c r="C7" i="4"/>
  <c r="D7" i="4"/>
  <c r="C8" i="4"/>
  <c r="F16" i="12" s="1"/>
  <c r="H16" i="12" s="1"/>
  <c r="F56" i="12"/>
  <c r="H56" i="12" s="1"/>
  <c r="D8" i="4"/>
  <c r="G56" i="12"/>
  <c r="C9" i="4"/>
  <c r="D9" i="4"/>
  <c r="G17" i="12" s="1"/>
  <c r="C10" i="4"/>
  <c r="F71" i="12"/>
  <c r="H71" i="12" s="1"/>
  <c r="D10" i="4"/>
  <c r="C11" i="4"/>
  <c r="F19" i="12" s="1"/>
  <c r="D11" i="4"/>
  <c r="C12" i="4"/>
  <c r="D12" i="4"/>
  <c r="C13" i="4"/>
  <c r="F21" i="12" s="1"/>
  <c r="H21" i="12" s="1"/>
  <c r="D13" i="4"/>
  <c r="C14" i="4"/>
  <c r="F22" i="12" s="1"/>
  <c r="D14" i="4"/>
  <c r="G22" i="12" s="1"/>
  <c r="H22" i="12" s="1"/>
  <c r="C15" i="4"/>
  <c r="F67" i="12"/>
  <c r="D15" i="4"/>
  <c r="C16" i="4"/>
  <c r="D16" i="4"/>
  <c r="G68" i="12"/>
  <c r="H68" i="12" s="1"/>
  <c r="C17" i="4"/>
  <c r="F25" i="12" s="1"/>
  <c r="D17" i="4"/>
  <c r="G25" i="12" s="1"/>
  <c r="H25" i="12" s="1"/>
  <c r="C18" i="4"/>
  <c r="F39" i="12"/>
  <c r="D18" i="4"/>
  <c r="G39" i="12"/>
  <c r="C19" i="4"/>
  <c r="D19" i="4"/>
  <c r="G27" i="12" s="1"/>
  <c r="C20" i="4"/>
  <c r="F28" i="12" s="1"/>
  <c r="H28" i="12" s="1"/>
  <c r="D20" i="4"/>
  <c r="G28" i="12" s="1"/>
  <c r="G20" i="12"/>
  <c r="C21" i="4"/>
  <c r="D21" i="4"/>
  <c r="C22" i="4"/>
  <c r="F59" i="12"/>
  <c r="H59" i="12" s="1"/>
  <c r="D22" i="4"/>
  <c r="G30" i="12" s="1"/>
  <c r="H30" i="12" s="1"/>
  <c r="G59" i="12"/>
  <c r="C23" i="4"/>
  <c r="F31" i="12" s="1"/>
  <c r="H31" i="12" s="1"/>
  <c r="D23" i="4"/>
  <c r="C24" i="4"/>
  <c r="F32" i="12"/>
  <c r="D24" i="4"/>
  <c r="G32" i="12"/>
  <c r="C25" i="4"/>
  <c r="F33" i="12" s="1"/>
  <c r="H33" i="12" s="1"/>
  <c r="F10" i="12"/>
  <c r="H10" i="12" s="1"/>
  <c r="D25" i="4"/>
  <c r="G10" i="12"/>
  <c r="C26" i="4"/>
  <c r="D26" i="4"/>
  <c r="G11" i="12"/>
  <c r="H11" i="12" s="1"/>
  <c r="C29" i="4"/>
  <c r="F37" i="12" s="1"/>
  <c r="H37" i="12" s="1"/>
  <c r="F27" i="12"/>
  <c r="H27" i="12" s="1"/>
  <c r="D29" i="4"/>
  <c r="C30" i="4"/>
  <c r="F38" i="12" s="1"/>
  <c r="H38" i="12" s="1"/>
  <c r="D30" i="4"/>
  <c r="D2" i="4"/>
  <c r="G36" i="12"/>
  <c r="C42" i="4"/>
  <c r="F50" i="12" s="1"/>
  <c r="D42" i="4"/>
  <c r="G50" i="12" s="1"/>
  <c r="H50" i="12" s="1"/>
  <c r="H87" i="12"/>
  <c r="F82" i="12"/>
  <c r="H82" i="12" s="1"/>
  <c r="G85" i="12"/>
  <c r="H85" i="12" s="1"/>
  <c r="F72" i="12"/>
  <c r="G82" i="12"/>
  <c r="G80" i="12"/>
  <c r="G79" i="12"/>
  <c r="H79" i="12"/>
  <c r="G77" i="12"/>
  <c r="F77" i="12"/>
  <c r="F52" i="12"/>
  <c r="F51" i="12"/>
  <c r="G52" i="12"/>
  <c r="G24" i="12"/>
  <c r="G13" i="12"/>
  <c r="G12" i="12"/>
  <c r="G19" i="12"/>
  <c r="H19" i="12" s="1"/>
  <c r="F29" i="12"/>
  <c r="F74" i="12"/>
  <c r="F83" i="12"/>
  <c r="H83" i="12" s="1"/>
  <c r="G44" i="12"/>
  <c r="H89" i="12"/>
  <c r="G15" i="12"/>
  <c r="H35" i="12"/>
  <c r="G23" i="12"/>
  <c r="G18" i="12"/>
  <c r="G66" i="12"/>
  <c r="H66" i="12" s="1"/>
  <c r="F15" i="12"/>
  <c r="F23" i="12"/>
  <c r="H23" i="12"/>
  <c r="F18" i="12"/>
  <c r="H18" i="12" s="1"/>
  <c r="G21" i="12"/>
  <c r="H77" i="12"/>
  <c r="H39" i="12"/>
  <c r="F70" i="12"/>
  <c r="H70" i="12"/>
  <c r="F20" i="12"/>
  <c r="H20" i="12" s="1"/>
  <c r="F24" i="12"/>
  <c r="H24" i="12"/>
  <c r="G38" i="12"/>
  <c r="G26" i="12"/>
  <c r="F26" i="12"/>
  <c r="H26" i="12" s="1"/>
  <c r="F69" i="12"/>
  <c r="H69" i="12"/>
  <c r="I69" i="12" s="1"/>
  <c r="F61" i="12"/>
  <c r="H61" i="12"/>
  <c r="F73" i="12"/>
  <c r="F14" i="12"/>
  <c r="F34" i="12"/>
  <c r="F49" i="12"/>
  <c r="F17" i="12"/>
  <c r="H17" i="12"/>
  <c r="I17" i="12" s="1"/>
  <c r="F65" i="12"/>
  <c r="H65" i="12" s="1"/>
  <c r="G34" i="12"/>
  <c r="F68" i="12"/>
  <c r="F85" i="12"/>
  <c r="G33" i="12"/>
  <c r="F58" i="12"/>
  <c r="G31" i="12"/>
  <c r="G86" i="12"/>
  <c r="G54" i="12"/>
  <c r="H54" i="12"/>
  <c r="G40" i="12"/>
  <c r="G84" i="12"/>
  <c r="G64" i="12"/>
  <c r="F36" i="12"/>
  <c r="F84" i="12"/>
  <c r="F64" i="12"/>
  <c r="F88" i="12"/>
  <c r="G29" i="12"/>
  <c r="H29" i="12" s="1"/>
  <c r="G16" i="12"/>
  <c r="H36" i="12"/>
  <c r="H64" i="12"/>
  <c r="J65" i="12"/>
  <c r="P65" i="12"/>
  <c r="H47" i="12"/>
  <c r="H42" i="12"/>
  <c r="I39" i="12"/>
  <c r="H14" i="12"/>
  <c r="H12" i="12"/>
  <c r="H15" i="12"/>
  <c r="T1" i="12"/>
  <c r="H52" i="12"/>
  <c r="I52" i="12"/>
  <c r="I24" i="12"/>
  <c r="J61" i="12"/>
  <c r="K61" i="12"/>
  <c r="Q61" i="12" s="1"/>
  <c r="I65" i="12"/>
  <c r="H88" i="12"/>
  <c r="I89" i="12"/>
  <c r="J56" i="12"/>
  <c r="P56" i="12"/>
  <c r="I38" i="12" l="1"/>
  <c r="K38" i="12"/>
  <c r="Q38" i="12" s="1"/>
  <c r="J37" i="12"/>
  <c r="L37" i="12" s="1"/>
  <c r="R37" i="12" s="1"/>
  <c r="J26" i="12"/>
  <c r="K26" i="12" s="1"/>
  <c r="J25" i="12"/>
  <c r="L25" i="12" s="1"/>
  <c r="R25" i="12" s="1"/>
  <c r="K25" i="12"/>
  <c r="Q25" i="12" s="1"/>
  <c r="I25" i="12"/>
  <c r="P25" i="12"/>
  <c r="J45" i="12"/>
  <c r="P45" i="12" s="1"/>
  <c r="K45" i="12"/>
  <c r="I44" i="12"/>
  <c r="I45" i="12"/>
  <c r="J44" i="12"/>
  <c r="P44" i="12" s="1"/>
  <c r="I29" i="12"/>
  <c r="J30" i="12"/>
  <c r="J29" i="12"/>
  <c r="K29" i="12" s="1"/>
  <c r="Q29" i="12" s="1"/>
  <c r="P29" i="12"/>
  <c r="I83" i="12"/>
  <c r="I28" i="12"/>
  <c r="K28" i="12"/>
  <c r="Q28" i="12" s="1"/>
  <c r="I30" i="12"/>
  <c r="P30" i="12"/>
  <c r="K30" i="12"/>
  <c r="I22" i="12"/>
  <c r="K71" i="12"/>
  <c r="Q71" i="12" s="1"/>
  <c r="P71" i="12"/>
  <c r="I71" i="12"/>
  <c r="J70" i="12"/>
  <c r="K70" i="12"/>
  <c r="Q70" i="12" s="1"/>
  <c r="J71" i="12"/>
  <c r="I19" i="12"/>
  <c r="P19" i="12"/>
  <c r="J19" i="12"/>
  <c r="K19" i="12" s="1"/>
  <c r="J74" i="12"/>
  <c r="K74" i="12" s="1"/>
  <c r="Q74" i="12" s="1"/>
  <c r="P74" i="12"/>
  <c r="I74" i="12"/>
  <c r="I59" i="12"/>
  <c r="J60" i="12"/>
  <c r="J59" i="12"/>
  <c r="K59" i="12" s="1"/>
  <c r="Q59" i="12" s="1"/>
  <c r="I60" i="12"/>
  <c r="I15" i="12"/>
  <c r="L15" i="12"/>
  <c r="R15" i="12" s="1"/>
  <c r="I14" i="12"/>
  <c r="J15" i="12"/>
  <c r="K15" i="12" s="1"/>
  <c r="Q15" i="12" s="1"/>
  <c r="K18" i="12"/>
  <c r="Q18" i="12" s="1"/>
  <c r="L82" i="12"/>
  <c r="R82" i="12" s="1"/>
  <c r="I82" i="12"/>
  <c r="J83" i="12"/>
  <c r="P83" i="12" s="1"/>
  <c r="I10" i="12"/>
  <c r="J11" i="12"/>
  <c r="P11" i="12" s="1"/>
  <c r="J10" i="12"/>
  <c r="K10" i="12" s="1"/>
  <c r="J55" i="12"/>
  <c r="L55" i="12" s="1"/>
  <c r="R55" i="12" s="1"/>
  <c r="I55" i="12"/>
  <c r="K55" i="12"/>
  <c r="Q55" i="12" s="1"/>
  <c r="I46" i="12"/>
  <c r="J46" i="12"/>
  <c r="L46" i="12"/>
  <c r="R46" i="12" s="1"/>
  <c r="K46" i="12"/>
  <c r="Q46" i="12" s="1"/>
  <c r="P46" i="12"/>
  <c r="K11" i="12"/>
  <c r="Q11" i="12" s="1"/>
  <c r="J88" i="12"/>
  <c r="P88" i="12" s="1"/>
  <c r="I88" i="12"/>
  <c r="J89" i="12"/>
  <c r="J18" i="12"/>
  <c r="P18" i="12" s="1"/>
  <c r="P36" i="12"/>
  <c r="I35" i="12"/>
  <c r="P26" i="12"/>
  <c r="I26" i="12"/>
  <c r="I23" i="12"/>
  <c r="J24" i="12"/>
  <c r="L89" i="12"/>
  <c r="R89" i="12" s="1"/>
  <c r="I87" i="12"/>
  <c r="J28" i="12"/>
  <c r="P28" i="12" s="1"/>
  <c r="I27" i="12"/>
  <c r="J27" i="12"/>
  <c r="K27" i="12" s="1"/>
  <c r="P27" i="12"/>
  <c r="J68" i="12"/>
  <c r="I68" i="12"/>
  <c r="I53" i="12"/>
  <c r="J91" i="12"/>
  <c r="K91" i="12" s="1"/>
  <c r="P68" i="12"/>
  <c r="J14" i="12"/>
  <c r="J38" i="12"/>
  <c r="P38" i="12" s="1"/>
  <c r="K37" i="12"/>
  <c r="Q37" i="12" s="1"/>
  <c r="J21" i="12"/>
  <c r="J76" i="12"/>
  <c r="H43" i="12"/>
  <c r="J51" i="12"/>
  <c r="P51" i="12" s="1"/>
  <c r="J52" i="12"/>
  <c r="P52" i="12" s="1"/>
  <c r="J53" i="12"/>
  <c r="K53" i="12" s="1"/>
  <c r="Q53" i="12" s="1"/>
  <c r="I51" i="12"/>
  <c r="J69" i="12"/>
  <c r="P69" i="12" s="1"/>
  <c r="J81" i="12"/>
  <c r="P81" i="12" s="1"/>
  <c r="H57" i="12"/>
  <c r="K82" i="12"/>
  <c r="Q82" i="12" s="1"/>
  <c r="J90" i="12"/>
  <c r="P90" i="12" s="1"/>
  <c r="I36" i="12"/>
  <c r="I64" i="12"/>
  <c r="J64" i="12"/>
  <c r="I81" i="12"/>
  <c r="I91" i="12"/>
  <c r="P91" i="12"/>
  <c r="J12" i="12"/>
  <c r="P12" i="12" s="1"/>
  <c r="I12" i="12"/>
  <c r="J13" i="12"/>
  <c r="K13" i="12" s="1"/>
  <c r="J17" i="12"/>
  <c r="K17" i="12" s="1"/>
  <c r="I16" i="12"/>
  <c r="J16" i="12"/>
  <c r="K16" i="12" s="1"/>
  <c r="Q16" i="12" s="1"/>
  <c r="I18" i="12"/>
  <c r="H78" i="12"/>
  <c r="I77" i="12" s="1"/>
  <c r="P82" i="12"/>
  <c r="K21" i="12"/>
  <c r="Q21" i="12" s="1"/>
  <c r="K23" i="12"/>
  <c r="Q23" i="12" s="1"/>
  <c r="J82" i="12"/>
  <c r="I62" i="12"/>
  <c r="K81" i="12"/>
  <c r="Q81" i="12" s="1"/>
  <c r="J67" i="12"/>
  <c r="K65" i="12"/>
  <c r="I61" i="12"/>
  <c r="L61" i="12"/>
  <c r="R61" i="12" s="1"/>
  <c r="J62" i="12"/>
  <c r="P62" i="12" s="1"/>
  <c r="P61" i="12"/>
  <c r="J39" i="12"/>
  <c r="J40" i="12"/>
  <c r="K40" i="12" s="1"/>
  <c r="Q40" i="12" s="1"/>
  <c r="P60" i="12"/>
  <c r="K60" i="12"/>
  <c r="Q60" i="12" s="1"/>
  <c r="L40" i="12"/>
  <c r="R40" i="12" s="1"/>
  <c r="I40" i="12"/>
  <c r="K52" i="12"/>
  <c r="Q52" i="12" s="1"/>
  <c r="K68" i="12"/>
  <c r="Q68" i="12" s="1"/>
  <c r="K62" i="12"/>
  <c r="Q62" i="12" s="1"/>
  <c r="I90" i="12"/>
  <c r="I11" i="12"/>
  <c r="P89" i="12"/>
  <c r="K89" i="12"/>
  <c r="Q89" i="12" s="1"/>
  <c r="K69" i="12"/>
  <c r="Q69" i="12" s="1"/>
  <c r="P37" i="12"/>
  <c r="J23" i="12"/>
  <c r="I85" i="12"/>
  <c r="I37" i="12"/>
  <c r="P21" i="12"/>
  <c r="J22" i="12"/>
  <c r="K22" i="12" s="1"/>
  <c r="I21" i="12"/>
  <c r="I56" i="12"/>
  <c r="L56" i="12"/>
  <c r="R56" i="12" s="1"/>
  <c r="K56" i="12"/>
  <c r="Q56" i="12" s="1"/>
  <c r="I13" i="12"/>
  <c r="H86" i="12"/>
  <c r="H49" i="12"/>
  <c r="I50" i="12" s="1"/>
  <c r="H76" i="12"/>
  <c r="H80" i="12"/>
  <c r="P24" i="12"/>
  <c r="J54" i="12"/>
  <c r="P54" i="12"/>
  <c r="I54" i="12"/>
  <c r="H34" i="12"/>
  <c r="I20" i="12"/>
  <c r="J20" i="12"/>
  <c r="H67" i="12"/>
  <c r="J63" i="12"/>
  <c r="K63" i="12" s="1"/>
  <c r="Q63" i="12" s="1"/>
  <c r="H41" i="12"/>
  <c r="H48" i="12"/>
  <c r="K24" i="12"/>
  <c r="K54" i="12"/>
  <c r="Q54" i="12" s="1"/>
  <c r="I63" i="12"/>
  <c r="H84" i="12"/>
  <c r="P70" i="12"/>
  <c r="I70" i="12"/>
  <c r="J36" i="12"/>
  <c r="K36" i="12" s="1"/>
  <c r="P35" i="12"/>
  <c r="L35" i="12"/>
  <c r="R35" i="12" s="1"/>
  <c r="J35" i="12"/>
  <c r="K35" i="12" s="1"/>
  <c r="Q35" i="12" s="1"/>
  <c r="I79" i="12"/>
  <c r="H72" i="12"/>
  <c r="H32" i="12"/>
  <c r="J32" i="12" s="1"/>
  <c r="Q22" i="12" l="1"/>
  <c r="S21" i="12" s="1"/>
  <c r="V21" i="12" s="1"/>
  <c r="L22" i="12"/>
  <c r="R22" i="12" s="1"/>
  <c r="K58" i="12"/>
  <c r="S81" i="12"/>
  <c r="V81" i="12" s="1"/>
  <c r="Q26" i="12"/>
  <c r="S25" i="12" s="1"/>
  <c r="V25" i="12" s="1"/>
  <c r="L26" i="12"/>
  <c r="R26" i="12" s="1"/>
  <c r="Q27" i="12"/>
  <c r="L27" i="12"/>
  <c r="R27" i="12" s="1"/>
  <c r="Q10" i="12"/>
  <c r="L10" i="12"/>
  <c r="R10" i="12" s="1"/>
  <c r="Q17" i="12"/>
  <c r="L17" i="12"/>
  <c r="R17" i="12" s="1"/>
  <c r="Q36" i="12"/>
  <c r="S35" i="12" s="1"/>
  <c r="V35" i="12" s="1"/>
  <c r="L36" i="12"/>
  <c r="R36" i="12" s="1"/>
  <c r="Q13" i="12"/>
  <c r="L13" i="12"/>
  <c r="R13" i="12" s="1"/>
  <c r="Q19" i="12"/>
  <c r="L19" i="12"/>
  <c r="R19" i="12" s="1"/>
  <c r="K90" i="12"/>
  <c r="Q90" i="12" s="1"/>
  <c r="K64" i="12"/>
  <c r="Q64" i="12" s="1"/>
  <c r="P64" i="12"/>
  <c r="L64" i="12"/>
  <c r="R64" i="12" s="1"/>
  <c r="L81" i="12"/>
  <c r="R81" i="12" s="1"/>
  <c r="L90" i="12"/>
  <c r="R90" i="12" s="1"/>
  <c r="S90" i="12" s="1"/>
  <c r="V90" i="12" s="1"/>
  <c r="K50" i="12"/>
  <c r="Q24" i="12"/>
  <c r="L24" i="12"/>
  <c r="R24" i="12" s="1"/>
  <c r="I34" i="12"/>
  <c r="J34" i="12"/>
  <c r="P34" i="12" s="1"/>
  <c r="L23" i="12"/>
  <c r="R23" i="12" s="1"/>
  <c r="P23" i="12"/>
  <c r="L16" i="12"/>
  <c r="R16" i="12" s="1"/>
  <c r="I43" i="12"/>
  <c r="K43" i="12"/>
  <c r="Q43" i="12" s="1"/>
  <c r="P43" i="12"/>
  <c r="J42" i="12"/>
  <c r="L43" i="12"/>
  <c r="R43" i="12" s="1"/>
  <c r="I42" i="12"/>
  <c r="Q91" i="12"/>
  <c r="L91" i="12"/>
  <c r="R91" i="12" s="1"/>
  <c r="K88" i="12"/>
  <c r="Q88" i="12" s="1"/>
  <c r="S88" i="12" s="1"/>
  <c r="V88" i="12" s="1"/>
  <c r="S46" i="12"/>
  <c r="V46" i="12" s="1"/>
  <c r="P55" i="12"/>
  <c r="S55" i="12" s="1"/>
  <c r="V55" i="12" s="1"/>
  <c r="P59" i="12"/>
  <c r="S59" i="12" s="1"/>
  <c r="V59" i="12" s="1"/>
  <c r="L70" i="12"/>
  <c r="R70" i="12" s="1"/>
  <c r="Q30" i="12"/>
  <c r="L30" i="12"/>
  <c r="R30" i="12" s="1"/>
  <c r="P16" i="12"/>
  <c r="L29" i="12"/>
  <c r="R29" i="12" s="1"/>
  <c r="S29" i="12" s="1"/>
  <c r="V29" i="12" s="1"/>
  <c r="P32" i="12"/>
  <c r="K32" i="12"/>
  <c r="Q32" i="12" s="1"/>
  <c r="I32" i="12"/>
  <c r="I48" i="12"/>
  <c r="J47" i="12"/>
  <c r="J48" i="12"/>
  <c r="P48" i="12" s="1"/>
  <c r="I47" i="12"/>
  <c r="K47" i="12"/>
  <c r="Q47" i="12" s="1"/>
  <c r="L62" i="12"/>
  <c r="R62" i="12" s="1"/>
  <c r="J33" i="12"/>
  <c r="I31" i="12"/>
  <c r="Q45" i="12"/>
  <c r="L45" i="12"/>
  <c r="R45" i="12" s="1"/>
  <c r="P72" i="12"/>
  <c r="I72" i="12"/>
  <c r="J73" i="12"/>
  <c r="P73" i="12" s="1"/>
  <c r="K73" i="12"/>
  <c r="J72" i="12"/>
  <c r="K72" i="12"/>
  <c r="Q72" i="12" s="1"/>
  <c r="L72" i="12"/>
  <c r="R72" i="12" s="1"/>
  <c r="S70" i="12"/>
  <c r="V70" i="12" s="1"/>
  <c r="K41" i="12"/>
  <c r="Q41" i="12" s="1"/>
  <c r="J41" i="12"/>
  <c r="L41" i="12" s="1"/>
  <c r="R41" i="12" s="1"/>
  <c r="I41" i="12"/>
  <c r="P41" i="12"/>
  <c r="S54" i="12"/>
  <c r="V54" i="12" s="1"/>
  <c r="P13" i="12"/>
  <c r="Q65" i="12"/>
  <c r="L65" i="12"/>
  <c r="R65" i="12" s="1"/>
  <c r="P53" i="12"/>
  <c r="L53" i="12"/>
  <c r="R53" i="12" s="1"/>
  <c r="I58" i="12"/>
  <c r="K14" i="12"/>
  <c r="Q14" i="12" s="1"/>
  <c r="K12" i="12"/>
  <c r="Q12" i="12" s="1"/>
  <c r="K44" i="12"/>
  <c r="Q44" i="12" s="1"/>
  <c r="J84" i="12"/>
  <c r="P84" i="12" s="1"/>
  <c r="J85" i="12"/>
  <c r="P85" i="12" s="1"/>
  <c r="K85" i="12"/>
  <c r="I84" i="12"/>
  <c r="K84" i="12"/>
  <c r="Q84" i="12" s="1"/>
  <c r="L84" i="12"/>
  <c r="R84" i="12" s="1"/>
  <c r="L54" i="12"/>
  <c r="R54" i="12" s="1"/>
  <c r="K76" i="12"/>
  <c r="Q76" i="12" s="1"/>
  <c r="P76" i="12"/>
  <c r="L76" i="12"/>
  <c r="R76" i="12" s="1"/>
  <c r="I76" i="12"/>
  <c r="J75" i="12"/>
  <c r="I33" i="12"/>
  <c r="L11" i="12"/>
  <c r="R11" i="12" s="1"/>
  <c r="I75" i="12"/>
  <c r="P14" i="12"/>
  <c r="J31" i="12"/>
  <c r="L59" i="12"/>
  <c r="R59" i="12" s="1"/>
  <c r="L28" i="12"/>
  <c r="R28" i="12" s="1"/>
  <c r="S27" i="12" s="1"/>
  <c r="V27" i="12" s="1"/>
  <c r="K83" i="12"/>
  <c r="P63" i="12"/>
  <c r="S63" i="12" s="1"/>
  <c r="V63" i="12" s="1"/>
  <c r="L63" i="12"/>
  <c r="R63" i="12" s="1"/>
  <c r="J49" i="12"/>
  <c r="K49" i="12" s="1"/>
  <c r="Q49" i="12" s="1"/>
  <c r="J50" i="12"/>
  <c r="P50" i="12" s="1"/>
  <c r="I49" i="12"/>
  <c r="P49" i="12"/>
  <c r="J78" i="12"/>
  <c r="K78" i="12" s="1"/>
  <c r="I78" i="12"/>
  <c r="P78" i="12"/>
  <c r="J77" i="12"/>
  <c r="K77" i="12"/>
  <c r="Q77" i="12" s="1"/>
  <c r="J57" i="12"/>
  <c r="P57" i="12" s="1"/>
  <c r="J58" i="12"/>
  <c r="P58" i="12" s="1"/>
  <c r="I57" i="12"/>
  <c r="P17" i="12"/>
  <c r="P22" i="12"/>
  <c r="K67" i="12"/>
  <c r="Q67" i="12" s="1"/>
  <c r="I67" i="12"/>
  <c r="I66" i="12"/>
  <c r="P67" i="12"/>
  <c r="L67" i="12"/>
  <c r="R67" i="12" s="1"/>
  <c r="J80" i="12"/>
  <c r="P80" i="12" s="1"/>
  <c r="J79" i="12"/>
  <c r="K79" i="12"/>
  <c r="Q79" i="12" s="1"/>
  <c r="I80" i="12"/>
  <c r="K80" i="12"/>
  <c r="Q80" i="12" s="1"/>
  <c r="K86" i="12"/>
  <c r="Q86" i="12" s="1"/>
  <c r="L86" i="12"/>
  <c r="R86" i="12" s="1"/>
  <c r="J86" i="12"/>
  <c r="P86" i="12" s="1"/>
  <c r="I86" i="12"/>
  <c r="J87" i="12"/>
  <c r="L52" i="12"/>
  <c r="R52" i="12" s="1"/>
  <c r="K51" i="12"/>
  <c r="P40" i="12"/>
  <c r="P39" i="12"/>
  <c r="K39" i="12"/>
  <c r="Q39" i="12" s="1"/>
  <c r="P10" i="12"/>
  <c r="K31" i="12"/>
  <c r="Q31" i="12" s="1"/>
  <c r="L69" i="12"/>
  <c r="R69" i="12" s="1"/>
  <c r="L18" i="12"/>
  <c r="R18" i="12" s="1"/>
  <c r="S18" i="12" s="1"/>
  <c r="V18" i="12" s="1"/>
  <c r="L74" i="12"/>
  <c r="R74" i="12" s="1"/>
  <c r="S74" i="12" s="1"/>
  <c r="V74" i="12" s="1"/>
  <c r="L71" i="12"/>
  <c r="R71" i="12" s="1"/>
  <c r="L38" i="12"/>
  <c r="R38" i="12" s="1"/>
  <c r="S37" i="12" s="1"/>
  <c r="V37" i="12" s="1"/>
  <c r="J43" i="12"/>
  <c r="P20" i="12"/>
  <c r="K20" i="12"/>
  <c r="Q20" i="12" s="1"/>
  <c r="L20" i="12"/>
  <c r="R20" i="12" s="1"/>
  <c r="I73" i="12"/>
  <c r="L21" i="12"/>
  <c r="R21" i="12" s="1"/>
  <c r="L60" i="12"/>
  <c r="R60" i="12" s="1"/>
  <c r="S61" i="12"/>
  <c r="V61" i="12" s="1"/>
  <c r="J66" i="12"/>
  <c r="L88" i="12"/>
  <c r="R88" i="12" s="1"/>
  <c r="L68" i="12"/>
  <c r="R68" i="12" s="1"/>
  <c r="S68" i="12" s="1"/>
  <c r="V68" i="12" s="1"/>
  <c r="P15" i="12"/>
  <c r="Q78" i="12" l="1"/>
  <c r="L78" i="12"/>
  <c r="R78" i="12" s="1"/>
  <c r="S12" i="12"/>
  <c r="V12" i="12" s="1"/>
  <c r="S44" i="12"/>
  <c r="V44" i="12" s="1"/>
  <c r="Q83" i="12"/>
  <c r="S82" i="12" s="1"/>
  <c r="V82" i="12" s="1"/>
  <c r="L83" i="12"/>
  <c r="R83" i="12" s="1"/>
  <c r="Q50" i="12"/>
  <c r="L50" i="12"/>
  <c r="R50" i="12" s="1"/>
  <c r="P77" i="12"/>
  <c r="L77" i="12"/>
  <c r="R77" i="12" s="1"/>
  <c r="K34" i="12"/>
  <c r="S20" i="12"/>
  <c r="V20" i="12" s="1"/>
  <c r="L49" i="12"/>
  <c r="R49" i="12" s="1"/>
  <c r="K33" i="12"/>
  <c r="Q33" i="12" s="1"/>
  <c r="L33" i="12"/>
  <c r="R33" i="12" s="1"/>
  <c r="P33" i="12"/>
  <c r="S16" i="12"/>
  <c r="V16" i="12" s="1"/>
  <c r="S64" i="12"/>
  <c r="V64" i="12" s="1"/>
  <c r="Q51" i="12"/>
  <c r="L51" i="12"/>
  <c r="R51" i="12" s="1"/>
  <c r="P75" i="12"/>
  <c r="K75" i="12"/>
  <c r="Q75" i="12" s="1"/>
  <c r="L32" i="12"/>
  <c r="R32" i="12" s="1"/>
  <c r="Q85" i="12"/>
  <c r="S84" i="12" s="1"/>
  <c r="V84" i="12" s="1"/>
  <c r="L85" i="12"/>
  <c r="R85" i="12" s="1"/>
  <c r="L66" i="12"/>
  <c r="R66" i="12" s="1"/>
  <c r="P66" i="12"/>
  <c r="S66" i="12" s="1"/>
  <c r="V66" i="12" s="1"/>
  <c r="K66" i="12"/>
  <c r="Q66" i="12" s="1"/>
  <c r="P87" i="12"/>
  <c r="K87" i="12"/>
  <c r="S41" i="12"/>
  <c r="V41" i="12" s="1"/>
  <c r="L80" i="12"/>
  <c r="R80" i="12" s="1"/>
  <c r="K57" i="12"/>
  <c r="Q57" i="12" s="1"/>
  <c r="Q73" i="12"/>
  <c r="S72" i="12" s="1"/>
  <c r="V72" i="12" s="1"/>
  <c r="L73" i="12"/>
  <c r="R73" i="12" s="1"/>
  <c r="L44" i="12"/>
  <c r="R44" i="12" s="1"/>
  <c r="L12" i="12"/>
  <c r="R12" i="12" s="1"/>
  <c r="K48" i="12"/>
  <c r="S23" i="12"/>
  <c r="V23" i="12" s="1"/>
  <c r="L14" i="12"/>
  <c r="R14" i="12" s="1"/>
  <c r="S14" i="12" s="1"/>
  <c r="V14" i="12" s="1"/>
  <c r="S49" i="12"/>
  <c r="V49" i="12" s="1"/>
  <c r="P42" i="12"/>
  <c r="Q58" i="12"/>
  <c r="L58" i="12"/>
  <c r="R58" i="12" s="1"/>
  <c r="P31" i="12"/>
  <c r="L31" i="12"/>
  <c r="R31" i="12" s="1"/>
  <c r="P47" i="12"/>
  <c r="L47" i="12"/>
  <c r="R47" i="12" s="1"/>
  <c r="S10" i="12"/>
  <c r="L39" i="12"/>
  <c r="R39" i="12" s="1"/>
  <c r="S39" i="12" s="1"/>
  <c r="P79" i="12"/>
  <c r="L79" i="12"/>
  <c r="R79" i="12" s="1"/>
  <c r="S53" i="12"/>
  <c r="V53" i="12" s="1"/>
  <c r="K42" i="12"/>
  <c r="Q42" i="12" s="1"/>
  <c r="V39" i="12" l="1"/>
  <c r="S57" i="12"/>
  <c r="V57" i="12" s="1"/>
  <c r="S51" i="12"/>
  <c r="V51" i="12" s="1"/>
  <c r="Q34" i="12"/>
  <c r="S33" i="12" s="1"/>
  <c r="L34" i="12"/>
  <c r="R34" i="12" s="1"/>
  <c r="S77" i="12"/>
  <c r="V77" i="12" s="1"/>
  <c r="L57" i="12"/>
  <c r="R57" i="12" s="1"/>
  <c r="S31" i="12"/>
  <c r="V31" i="12" s="1"/>
  <c r="Q48" i="12"/>
  <c r="S47" i="12" s="1"/>
  <c r="V47" i="12" s="1"/>
  <c r="L48" i="12"/>
  <c r="R48" i="12" s="1"/>
  <c r="S79" i="12"/>
  <c r="V79" i="12" s="1"/>
  <c r="Q87" i="12"/>
  <c r="L87" i="12"/>
  <c r="R87" i="12" s="1"/>
  <c r="V10" i="12"/>
  <c r="L42" i="12"/>
  <c r="R42" i="12" s="1"/>
  <c r="S42" i="12" s="1"/>
  <c r="V42" i="12" s="1"/>
  <c r="L75" i="12"/>
  <c r="R75" i="12" s="1"/>
  <c r="S75" i="12" s="1"/>
  <c r="V75" i="12" s="1"/>
  <c r="V33" i="12" l="1"/>
  <c r="S86" i="12"/>
  <c r="V86" i="12" s="1"/>
  <c r="S93" i="12"/>
  <c r="S92" i="12" l="1"/>
</calcChain>
</file>

<file path=xl/sharedStrings.xml><?xml version="1.0" encoding="utf-8"?>
<sst xmlns="http://purl.oclc.org/ooxml/spreadsheetml/main" count="249" uniqueCount="114">
  <si>
    <t>Квитанция на оплату электроснабжения</t>
  </si>
  <si>
    <t>Тарифная зона</t>
  </si>
  <si>
    <t>Показания по прибору учета электроэнергии</t>
  </si>
  <si>
    <t>День (Т1)</t>
  </si>
  <si>
    <t>Ночь (Т2)</t>
  </si>
  <si>
    <t>Блок 1</t>
  </si>
  <si>
    <t>Блок 2</t>
  </si>
  <si>
    <t>Предыдущий месяц, кВт.*ч</t>
  </si>
  <si>
    <t>Текущий месяц, кВт.*ч</t>
  </si>
  <si>
    <t>Учтена оплата, руб.</t>
  </si>
  <si>
    <t>К оплате, руб.</t>
  </si>
  <si>
    <t>Блок 3</t>
  </si>
  <si>
    <t>г. Севастополь,
ТСН "ЖСТИЗ "СТОЛЕТОВСКИЙ"</t>
  </si>
  <si>
    <t>Уч.№</t>
  </si>
  <si>
    <t>нынешние показания</t>
  </si>
  <si>
    <t>предыдущеий месяц</t>
  </si>
  <si>
    <t>Потребитель</t>
  </si>
  <si>
    <t>Гаценко НатГаврил</t>
  </si>
  <si>
    <t>Дикарев АлексейАнат</t>
  </si>
  <si>
    <t>Дмитриев Ал-рВахтанг</t>
  </si>
  <si>
    <t>Егоров ЕвгЮрьев</t>
  </si>
  <si>
    <t>Ефимов Вл-р Васил</t>
  </si>
  <si>
    <t>Заруба ЛюдмСерг</t>
  </si>
  <si>
    <t>Зырянов ДмитрНик</t>
  </si>
  <si>
    <t>п/п</t>
  </si>
  <si>
    <t>56-Б</t>
  </si>
  <si>
    <t>56-А</t>
  </si>
  <si>
    <t>Тариф 1</t>
  </si>
  <si>
    <t>задолженность
(актуальная)</t>
  </si>
  <si>
    <t>учтена оплата
(актуальная)</t>
  </si>
  <si>
    <t>тел. +7(978) 812-13-99, e-mail: tsn-gstiz-stoletovskiy@yandex.ru</t>
  </si>
  <si>
    <t>Расход, кВт*ч</t>
  </si>
  <si>
    <t>Начислено, руб.</t>
  </si>
  <si>
    <t>Долг / Переплата "-", руб.</t>
  </si>
  <si>
    <t>Соотно-
шение, %</t>
  </si>
  <si>
    <t>Сумма, руб.</t>
  </si>
  <si>
    <t>П/п</t>
  </si>
  <si>
    <t>1</t>
  </si>
  <si>
    <t>2</t>
  </si>
  <si>
    <t>3</t>
  </si>
  <si>
    <t>4</t>
  </si>
  <si>
    <t>7</t>
  </si>
  <si>
    <t>8</t>
  </si>
  <si>
    <t>9</t>
  </si>
  <si>
    <t>10</t>
  </si>
  <si>
    <t>11</t>
  </si>
  <si>
    <t>13</t>
  </si>
  <si>
    <t>15</t>
  </si>
  <si>
    <t>17</t>
  </si>
  <si>
    <t>19</t>
  </si>
  <si>
    <t>21</t>
  </si>
  <si>
    <t>Расчет обьема, 
кВт.*ч</t>
  </si>
  <si>
    <t>Ставка тарифа, 
р./кВт.*ч</t>
  </si>
  <si>
    <t>12</t>
  </si>
  <si>
    <t>Гаценко Н.Г.</t>
  </si>
  <si>
    <t>Дикарев А.А.</t>
  </si>
  <si>
    <t>Дмитриев А.В.</t>
  </si>
  <si>
    <t>Егоров Е.Ю.</t>
  </si>
  <si>
    <t>Ефимов В.В.</t>
  </si>
  <si>
    <t>Заруба Л.С.</t>
  </si>
  <si>
    <t>Зырянов Д.Н.</t>
  </si>
  <si>
    <t>Кавун А.И.</t>
  </si>
  <si>
    <t>Калашников В.В.</t>
  </si>
  <si>
    <t>Картира Я.А.</t>
  </si>
  <si>
    <t>Касьяненко А.А.</t>
  </si>
  <si>
    <t>Ким Т.В.</t>
  </si>
  <si>
    <t>Клокова Е.В.</t>
  </si>
  <si>
    <t>Коваленко Р.Т.</t>
  </si>
  <si>
    <t>Кралькина И.А.</t>
  </si>
  <si>
    <t>Кудряшов Ю.Ю.</t>
  </si>
  <si>
    <t>Курашин А.П.</t>
  </si>
  <si>
    <t>Лисина Н.А.</t>
  </si>
  <si>
    <t>Макарова О.Н.</t>
  </si>
  <si>
    <t>Милакина М.В.</t>
  </si>
  <si>
    <t>Мирошниченко Л.В.</t>
  </si>
  <si>
    <t>Михайленко С.Г.</t>
  </si>
  <si>
    <t>Ненахов С.А.</t>
  </si>
  <si>
    <t>Новацкий О.В.</t>
  </si>
  <si>
    <t>Носовский В.А.</t>
  </si>
  <si>
    <t>Ольшинецкий В.В.</t>
  </si>
  <si>
    <t>Оселедец В.Д.</t>
  </si>
  <si>
    <t>Пильник А.Я.</t>
  </si>
  <si>
    <t>Рок М.В.</t>
  </si>
  <si>
    <t>Рубцова Т.В.</t>
  </si>
  <si>
    <t>Самойленко С.Б.</t>
  </si>
  <si>
    <t>Сидорец А.С.</t>
  </si>
  <si>
    <t>Смирнов С.В.</t>
  </si>
  <si>
    <t>Трактин Р.В.</t>
  </si>
  <si>
    <t>Тульянова Н.В.</t>
  </si>
  <si>
    <t>Чихранов А.Д.</t>
  </si>
  <si>
    <t>Шавриева А.В.</t>
  </si>
  <si>
    <t>Шепелин В.С.</t>
  </si>
  <si>
    <t>Лисина H.А.</t>
  </si>
  <si>
    <t>Михайленко C.Г.</t>
  </si>
  <si>
    <t>Смена счетчиков</t>
  </si>
  <si>
    <t>все</t>
  </si>
  <si>
    <t>Сизонов А.В.</t>
  </si>
  <si>
    <t>Чеченко Е.Н.</t>
  </si>
  <si>
    <t>Дмитриев Ал-р Вахтанг</t>
  </si>
  <si>
    <t>35846/212</t>
  </si>
  <si>
    <t>13711/71</t>
  </si>
  <si>
    <t>почти все</t>
  </si>
  <si>
    <t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t>
  </si>
  <si>
    <t>текст подвала</t>
  </si>
  <si>
    <t>текст шапки</t>
  </si>
  <si>
    <t>53/а</t>
  </si>
  <si>
    <t>смена
счетчика</t>
  </si>
  <si>
    <t>Трактин В.В.</t>
  </si>
  <si>
    <t>53/б</t>
  </si>
  <si>
    <t xml:space="preserve">Митрофанова И.В. </t>
  </si>
  <si>
    <t>Штетальный В.Г.</t>
  </si>
  <si>
    <t>Организация: Товарищество собственников недвижимости "жилищно-строительное товарищество индивидуальных застройщиков "Столетовский"</t>
  </si>
  <si>
    <t>ИНН: 9201505978; КПП: 920101001; ФИЛИАЛ "ЦЕНТРАЛЬНЫЙ" БАНКА ВТБ (ПАО) в г. Москве;</t>
  </si>
  <si>
    <t>БИК 044525411; Р/с 40703810824317000026; К/с 30101810145250000411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</si>
</sst>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_-* #,##0.00_р_._-;\-* #,##0.00_р_._-;_-* &quot;-&quot;??_р_._-;_-@_-"/>
    <numFmt numFmtId="192" formatCode="[$-419]mmmm\ yyyy;@"/>
  </numFmts>
  <fonts count="24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12"/>
      <name val="Arial"/>
      <family val="2"/>
      <charset val="204"/>
    </font>
    <font>
      <sz val="11"/>
      <name val="Arial Narrow"/>
      <family val="2"/>
      <charset val="204"/>
    </font>
    <font>
      <sz val="6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</font>
    <font>
      <sz val="12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theme="0"/>
      <name val="Arial"/>
      <family val="2"/>
      <charset val="204"/>
    </font>
    <font>
      <sz val="12"/>
      <color theme="0"/>
      <name val="Arial Narrow"/>
      <family val="2"/>
      <charset val="204"/>
    </font>
    <font>
      <sz val="10"/>
      <color theme="0"/>
      <name val="Arial"/>
      <family val="2"/>
      <charset val="204"/>
    </font>
    <font>
      <sz val="8"/>
      <color theme="0"/>
      <name val="Arial Narrow"/>
      <family val="2"/>
      <charset val="204"/>
    </font>
    <font>
      <sz val="9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ACC8BD"/>
      </start>
      <end style="thin">
        <color rgb="FFACC8BD"/>
      </end>
      <top style="thin">
        <color rgb="FFACC8BD"/>
      </top>
      <bottom style="thin">
        <color rgb="FFACC8BD"/>
      </bottom>
      <diagonal/>
    </border>
  </borders>
  <cellStyleXfs count="11">
    <xf numFmtId="0" fontId="0" fillId="0" borderId="0"/>
    <xf numFmtId="0" fontId="15" fillId="0" borderId="0"/>
    <xf numFmtId="0" fontId="2" fillId="0" borderId="0"/>
    <xf numFmtId="0" fontId="9" fillId="0" borderId="0"/>
    <xf numFmtId="0" fontId="11" fillId="0" borderId="0"/>
    <xf numFmtId="0" fontId="12" fillId="0" borderId="0"/>
    <xf numFmtId="0" fontId="9" fillId="0" borderId="0"/>
    <xf numFmtId="0" fontId="2" fillId="0" borderId="0"/>
    <xf numFmtId="0" fontId="13" fillId="0" borderId="0"/>
    <xf numFmtId="0" fontId="9" fillId="0" borderId="0"/>
    <xf numFmtId="173" fontId="11" fillId="0" borderId="0" applyFont="0" applyFill="0" applyBorder="0" applyAlignment="0" applyProtection="0"/>
  </cellStyleXfs>
  <cellXfs count="166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/>
    </xf>
    <xf numFmtId="2" fontId="3" fillId="0" borderId="2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vertical="top" wrapText="1"/>
    </xf>
    <xf numFmtId="2" fontId="3" fillId="0" borderId="2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/>
    </xf>
    <xf numFmtId="0" fontId="5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horizontal="left" vertical="center"/>
    </xf>
    <xf numFmtId="2" fontId="16" fillId="0" borderId="4" xfId="0" applyNumberFormat="1" applyFont="1" applyBorder="1"/>
    <xf numFmtId="2" fontId="16" fillId="0" borderId="1" xfId="0" applyNumberFormat="1" applyFont="1" applyBorder="1"/>
    <xf numFmtId="2" fontId="6" fillId="0" borderId="1" xfId="0" applyNumberFormat="1" applyFont="1" applyBorder="1"/>
    <xf numFmtId="2" fontId="16" fillId="0" borderId="5" xfId="0" applyNumberFormat="1" applyFont="1" applyBorder="1"/>
    <xf numFmtId="0" fontId="17" fillId="2" borderId="4" xfId="0" applyFont="1" applyFill="1" applyBorder="1"/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3" fillId="0" borderId="2" xfId="0" applyNumberFormat="1" applyFont="1" applyBorder="1" applyAlignment="1">
      <alignment vertical="top" wrapText="1"/>
    </xf>
    <xf numFmtId="0" fontId="3" fillId="0" borderId="0" xfId="0" applyNumberFormat="1" applyFont="1" applyBorder="1" applyAlignment="1">
      <alignment vertical="top" wrapText="1"/>
    </xf>
    <xf numFmtId="17" fontId="5" fillId="0" borderId="0" xfId="0" applyNumberFormat="1" applyFont="1" applyAlignment="1">
      <alignment wrapText="1"/>
    </xf>
    <xf numFmtId="0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2" fontId="3" fillId="0" borderId="6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center" vertical="center"/>
    </xf>
    <xf numFmtId="17" fontId="8" fillId="0" borderId="0" xfId="0" applyNumberFormat="1" applyFont="1"/>
    <xf numFmtId="0" fontId="8" fillId="0" borderId="0" xfId="0" applyFont="1"/>
    <xf numFmtId="49" fontId="3" fillId="0" borderId="7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vertical="center" wrapText="1"/>
    </xf>
    <xf numFmtId="0" fontId="3" fillId="0" borderId="6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/>
    </xf>
    <xf numFmtId="1" fontId="3" fillId="0" borderId="0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8" xfId="2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2" fontId="3" fillId="0" borderId="3" xfId="2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 textRotation="90"/>
    </xf>
    <xf numFmtId="2" fontId="3" fillId="0" borderId="2" xfId="0" applyNumberFormat="1" applyFont="1" applyBorder="1" applyAlignment="1">
      <alignment horizontal="right" vertical="top" wrapText="1"/>
    </xf>
    <xf numFmtId="1" fontId="3" fillId="0" borderId="2" xfId="0" applyNumberFormat="1" applyFont="1" applyBorder="1" applyAlignment="1">
      <alignment horizontal="right" vertical="top" wrapText="1"/>
    </xf>
    <xf numFmtId="2" fontId="3" fillId="0" borderId="0" xfId="0" applyNumberFormat="1" applyFont="1" applyBorder="1" applyAlignment="1">
      <alignment horizontal="right" vertical="top" wrapText="1"/>
    </xf>
    <xf numFmtId="1" fontId="3" fillId="0" borderId="0" xfId="0" applyNumberFormat="1" applyFont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textRotation="90" wrapText="1"/>
    </xf>
    <xf numFmtId="2" fontId="3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Fill="1" applyAlignment="1">
      <alignment wrapText="1"/>
    </xf>
    <xf numFmtId="2" fontId="5" fillId="0" borderId="0" xfId="0" applyNumberFormat="1" applyFont="1" applyFill="1"/>
    <xf numFmtId="0" fontId="18" fillId="3" borderId="0" xfId="0" applyFont="1" applyFill="1" applyAlignment="1">
      <alignment horizontal="right"/>
    </xf>
    <xf numFmtId="0" fontId="19" fillId="3" borderId="4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right"/>
    </xf>
    <xf numFmtId="0" fontId="19" fillId="3" borderId="9" xfId="0" applyFont="1" applyFill="1" applyBorder="1" applyAlignment="1">
      <alignment horizontal="right"/>
    </xf>
    <xf numFmtId="0" fontId="19" fillId="3" borderId="10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right"/>
    </xf>
    <xf numFmtId="2" fontId="16" fillId="0" borderId="0" xfId="0" applyNumberFormat="1" applyFont="1" applyBorder="1"/>
    <xf numFmtId="0" fontId="20" fillId="4" borderId="0" xfId="0" applyFont="1" applyFill="1"/>
    <xf numFmtId="2" fontId="3" fillId="0" borderId="10" xfId="0" applyNumberFormat="1" applyFont="1" applyBorder="1" applyAlignment="1">
      <alignment horizontal="right" vertical="center"/>
    </xf>
    <xf numFmtId="0" fontId="14" fillId="5" borderId="4" xfId="0" applyFont="1" applyFill="1" applyBorder="1"/>
    <xf numFmtId="0" fontId="8" fillId="0" borderId="0" xfId="0" applyFont="1" applyBorder="1"/>
    <xf numFmtId="2" fontId="10" fillId="2" borderId="14" xfId="0" applyNumberFormat="1" applyFont="1" applyFill="1" applyBorder="1" applyAlignment="1">
      <alignment horizontal="right" vertical="top" wrapText="1"/>
    </xf>
    <xf numFmtId="0" fontId="21" fillId="4" borderId="4" xfId="0" applyFont="1" applyFill="1" applyBorder="1"/>
    <xf numFmtId="0" fontId="21" fillId="6" borderId="4" xfId="0" applyFont="1" applyFill="1" applyBorder="1"/>
    <xf numFmtId="0" fontId="19" fillId="6" borderId="4" xfId="0" applyFont="1" applyFill="1" applyBorder="1"/>
    <xf numFmtId="17" fontId="0" fillId="0" borderId="0" xfId="0" applyNumberFormat="1"/>
    <xf numFmtId="2" fontId="16" fillId="5" borderId="1" xfId="0" applyNumberFormat="1" applyFont="1" applyFill="1" applyBorder="1" applyAlignment="1">
      <alignment horizontal="center" vertical="center"/>
    </xf>
    <xf numFmtId="2" fontId="16" fillId="5" borderId="6" xfId="0" applyNumberFormat="1" applyFont="1" applyFill="1" applyBorder="1" applyAlignment="1">
      <alignment horizontal="center" vertical="center"/>
    </xf>
    <xf numFmtId="2" fontId="10" fillId="5" borderId="14" xfId="8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vertical="center"/>
    </xf>
    <xf numFmtId="2" fontId="3" fillId="0" borderId="8" xfId="2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2" fontId="3" fillId="0" borderId="6" xfId="0" applyNumberFormat="1" applyFont="1" applyFill="1" applyBorder="1" applyAlignment="1">
      <alignment horizontal="left" vertical="center"/>
    </xf>
    <xf numFmtId="0" fontId="3" fillId="0" borderId="6" xfId="0" applyNumberFormat="1" applyFont="1" applyFill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0" fillId="5" borderId="14" xfId="0" applyNumberFormat="1" applyFont="1" applyFill="1" applyBorder="1" applyAlignment="1">
      <alignment horizontal="center" vertical="center" wrapText="1"/>
    </xf>
    <xf numFmtId="2" fontId="16" fillId="5" borderId="13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 vertical="center"/>
    </xf>
    <xf numFmtId="2" fontId="10" fillId="0" borderId="14" xfId="0" applyNumberFormat="1" applyFont="1" applyBorder="1" applyAlignment="1">
      <alignment horizontal="right" vertical="top" wrapText="1"/>
    </xf>
    <xf numFmtId="4" fontId="10" fillId="0" borderId="14" xfId="0" applyNumberFormat="1" applyFont="1" applyBorder="1" applyAlignment="1">
      <alignment horizontal="right" vertical="top" wrapText="1"/>
    </xf>
    <xf numFmtId="0" fontId="17" fillId="2" borderId="1" xfId="0" applyFont="1" applyFill="1" applyBorder="1"/>
    <xf numFmtId="0" fontId="17" fillId="2" borderId="5" xfId="0" applyFont="1" applyFill="1" applyBorder="1"/>
    <xf numFmtId="0" fontId="21" fillId="6" borderId="6" xfId="0" applyFont="1" applyFill="1" applyBorder="1"/>
    <xf numFmtId="0" fontId="17" fillId="2" borderId="1" xfId="0" applyFont="1" applyFill="1" applyBorder="1" applyAlignment="1">
      <alignment horizontal="left"/>
    </xf>
    <xf numFmtId="0" fontId="17" fillId="2" borderId="10" xfId="0" applyFont="1" applyFill="1" applyBorder="1"/>
    <xf numFmtId="2" fontId="16" fillId="5" borderId="5" xfId="0" applyNumberFormat="1" applyFont="1" applyFill="1" applyBorder="1" applyAlignment="1">
      <alignment horizontal="center" vertical="center"/>
    </xf>
    <xf numFmtId="2" fontId="16" fillId="5" borderId="0" xfId="0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right" vertical="center"/>
    </xf>
    <xf numFmtId="0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/>
    </xf>
    <xf numFmtId="49" fontId="4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wrapText="1"/>
    </xf>
    <xf numFmtId="17" fontId="5" fillId="0" borderId="0" xfId="0" applyNumberFormat="1" applyFont="1"/>
    <xf numFmtId="2" fontId="22" fillId="0" borderId="1" xfId="0" applyNumberFormat="1" applyFont="1" applyBorder="1"/>
    <xf numFmtId="0" fontId="5" fillId="0" borderId="0" xfId="0" applyFont="1" applyBorder="1"/>
    <xf numFmtId="2" fontId="3" fillId="0" borderId="2" xfId="0" applyNumberFormat="1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0" fontId="5" fillId="0" borderId="0" xfId="0" applyFont="1" applyFill="1" applyBorder="1"/>
    <xf numFmtId="2" fontId="5" fillId="0" borderId="0" xfId="0" applyNumberFormat="1" applyFont="1" applyFill="1" applyBorder="1"/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23" fillId="0" borderId="1" xfId="0" applyNumberFormat="1" applyFont="1" applyBorder="1"/>
    <xf numFmtId="17" fontId="20" fillId="4" borderId="0" xfId="0" applyNumberFormat="1" applyFont="1" applyFill="1" applyAlignment="1">
      <alignment horizontal="center" wrapText="1"/>
    </xf>
    <xf numFmtId="0" fontId="3" fillId="0" borderId="6" xfId="0" applyNumberFormat="1" applyFont="1" applyBorder="1" applyAlignment="1">
      <alignment horizontal="left" vertical="center"/>
    </xf>
    <xf numFmtId="0" fontId="3" fillId="0" borderId="10" xfId="0" applyNumberFormat="1" applyFont="1" applyBorder="1" applyAlignment="1">
      <alignment horizontal="left" vertical="center"/>
    </xf>
    <xf numFmtId="192" fontId="3" fillId="0" borderId="1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8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  <xf numFmtId="2" fontId="3" fillId="0" borderId="13" xfId="0" applyNumberFormat="1" applyFont="1" applyBorder="1" applyAlignment="1">
      <alignment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left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left" vertical="center" wrapText="1"/>
    </xf>
    <xf numFmtId="2" fontId="3" fillId="0" borderId="10" xfId="0" applyNumberFormat="1" applyFont="1" applyBorder="1" applyAlignment="1">
      <alignment horizontal="left" vertical="center" wrapText="1"/>
    </xf>
    <xf numFmtId="2" fontId="3" fillId="0" borderId="1" xfId="0" applyNumberFormat="1" applyFont="1" applyFill="1" applyBorder="1" applyAlignment="1">
      <alignment horizontal="left" vertical="center" wrapText="1"/>
    </xf>
    <xf numFmtId="2" fontId="3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</cellXfs>
  <cellStyles count="11">
    <cellStyle name="Обычный" xfId="0" builtinId="0"/>
    <cellStyle name="Обычный 2" xfId="1" xr:uid="{0A19C717-C2E2-CC4F-A13D-ED2C231E0EEB}"/>
    <cellStyle name="Обычный 3" xfId="2" xr:uid="{9C750780-56C6-594B-99FE-AC5135EA26DD}"/>
    <cellStyle name="Обычный 4" xfId="3" xr:uid="{FF731130-4AB5-7540-8B15-AFEAC41B482B}"/>
    <cellStyle name="Обычный 4 2" xfId="4" xr:uid="{C37132EE-72D1-8A47-B9D2-4006F30A0DB5}"/>
    <cellStyle name="Обычный 4 3" xfId="5" xr:uid="{DB580DC7-1D62-5344-AD28-C821EA0C28E0}"/>
    <cellStyle name="Обычный 4 3 2" xfId="6" xr:uid="{66F9B654-BFE3-C345-AA9D-CD9720573BBE}"/>
    <cellStyle name="Обычный 5" xfId="7" xr:uid="{AF4F9CE5-BF91-774C-AA53-FEB78B89DBE6}"/>
    <cellStyle name="Обычный 6" xfId="8" xr:uid="{A284E0E1-BDF0-D347-AC58-B33AC02497F3}"/>
    <cellStyle name="Обычный 6 2" xfId="9" xr:uid="{34A8F69F-191B-E045-A996-F40949B7A322}"/>
    <cellStyle name="Финансовый 2" xfId="10" xr:uid="{5D25ABF1-5687-E949-A244-0C05CD5068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1145-AAD6-2947-AC33-5A46DF6B2533}">
  <sheetPr codeName="Лист1"/>
  <dimension ref="A1:BL162"/>
  <sheetViews>
    <sheetView zoomScale="150" zoomScaleNormal="110" workbookViewId="0">
      <pane xSplit="7" ySplit="1" topLeftCell="AO14" activePane="bottomRight" state="frozen"/>
      <selection pane="topRight" activeCell="H1" sqref="H1"/>
      <selection pane="bottomLeft" activeCell="A2" sqref="A2"/>
      <selection pane="bottomRight" activeCell="F36" sqref="F36"/>
    </sheetView>
  </sheetViews>
  <sheetFormatPr baseColWidth="10" defaultColWidth="11.5" defaultRowHeight="16"/>
  <cols>
    <col min="1" max="1" width="4.83203125" style="27" customWidth="1"/>
    <col min="2" max="2" width="24.6640625" style="24" customWidth="1"/>
    <col min="3" max="4" width="11.6640625" style="26" customWidth="1"/>
    <col min="5" max="5" width="15.5" style="34" customWidth="1"/>
    <col min="6" max="6" width="15.5" style="69" customWidth="1"/>
    <col min="7" max="7" width="11.5" style="70" customWidth="1"/>
    <col min="8" max="8" width="11.5" style="24" customWidth="1"/>
    <col min="9" max="17" width="11.5" style="43" customWidth="1"/>
    <col min="18" max="18" width="9.83203125" style="43" bestFit="1" customWidth="1"/>
    <col min="19" max="19" width="6.1640625" style="77" customWidth="1"/>
    <col min="20" max="20" width="6.1640625" style="77" bestFit="1" customWidth="1"/>
    <col min="21" max="22" width="9.83203125" style="43" bestFit="1" customWidth="1"/>
    <col min="24" max="25" width="11.5" style="24"/>
    <col min="26" max="36" width="11.5" style="107"/>
    <col min="37" max="38" width="11.5" style="24"/>
    <col min="39" max="39" width="6.1640625" style="77" customWidth="1"/>
    <col min="40" max="40" width="6.1640625" style="77" bestFit="1" customWidth="1"/>
    <col min="41" max="16384" width="11.5" style="24"/>
  </cols>
  <sheetData>
    <row r="1" spans="1:46" ht="35" customHeight="1" thickBot="1">
      <c r="A1" s="27" t="s">
        <v>24</v>
      </c>
      <c r="B1" s="85" t="d">
        <f>INDEX($H1:$IV1,1,COUNTA($H1:$IV1)+2)</f>
        <v>2025-10-01</v>
      </c>
      <c r="C1" s="25" t="s">
        <v>14</v>
      </c>
      <c r="D1" s="25" t="s">
        <v>15</v>
      </c>
      <c r="E1" s="33" t="s">
        <v>28</v>
      </c>
      <c r="F1" s="68" t="s">
        <v>29</v>
      </c>
      <c r="H1" s="37" t="d">
        <v>2022-12-01</v>
      </c>
      <c r="I1" s="42" t="d">
        <v>2023-01-01</v>
      </c>
      <c r="J1" s="42" t="d">
        <v>2023-02-01</v>
      </c>
      <c r="K1" s="42" t="d">
        <v>2023-03-01</v>
      </c>
      <c r="L1" s="42" t="d">
        <v>2023-04-01</v>
      </c>
      <c r="M1" s="42" t="d">
        <v>2023-05-01</v>
      </c>
      <c r="N1" s="42" t="d">
        <v>2023-06-01</v>
      </c>
      <c r="O1" s="42" t="d">
        <v>2023-07-01</v>
      </c>
      <c r="P1" s="42" t="d">
        <v>2023-08-01</v>
      </c>
      <c r="Q1" s="42" t="d">
        <v>2023-09-01</v>
      </c>
      <c r="R1" s="42" t="d">
        <v>2023-10-01</v>
      </c>
      <c r="S1" s="138" t="s">
        <v>94</v>
      </c>
      <c r="T1" s="138"/>
      <c r="U1" s="42" t="d">
        <v>2023-11-01</v>
      </c>
      <c r="V1" s="42" t="d">
        <v>2023-12-01</v>
      </c>
      <c r="W1" s="85" t="d">
        <v>2024-01-01</v>
      </c>
      <c r="X1" s="85" t="d">
        <v>2024-02-01</v>
      </c>
      <c r="Y1" s="85" t="d">
        <v>2024-03-01</v>
      </c>
      <c r="Z1" s="85" t="d">
        <v>2024-04-01</v>
      </c>
      <c r="AA1" s="85" t="d">
        <v>2024-05-01</v>
      </c>
      <c r="AB1" s="85" t="d">
        <v>2024-06-01</v>
      </c>
      <c r="AC1" s="85" t="d">
        <v>2024-07-01</v>
      </c>
      <c r="AD1" s="85" t="d">
        <v>2024-08-01</v>
      </c>
      <c r="AE1" s="85" t="d">
        <v>2024-09-01</v>
      </c>
      <c r="AF1" s="85" t="d">
        <v>2024-10-01</v>
      </c>
      <c r="AG1" s="85" t="d">
        <v>2024-11-01</v>
      </c>
      <c r="AH1" s="85" t="d">
        <v>2024-12-01</v>
      </c>
      <c r="AI1" s="85" t="d">
        <v>2025-01-01</v>
      </c>
      <c r="AJ1" s="85" t="d">
        <v>2025-02-01</v>
      </c>
      <c r="AK1" s="128" t="d">
        <v>2025-03-01</v>
      </c>
      <c r="AL1" s="85" t="d">
        <v>2025-04-01</v>
      </c>
      <c r="AM1" s="138" t="s">
        <v>106</v>
      </c>
      <c r="AN1" s="138"/>
      <c r="AO1" s="128" t="d">
        <v>2025-05-01</v>
      </c>
      <c r="AP1" s="128" t="d">
        <v>2025-06-01</v>
      </c>
      <c r="AQ1" s="128" t="d">
        <v>2025-07-01</v>
      </c>
      <c r="AR1" s="128" t="d">
        <v>2025-08-01</v>
      </c>
      <c r="AS1" s="128" t="d">
        <v>2025-09-01</v>
      </c>
      <c r="AT1" s="128" t="d">
        <v>2025-10-01</v>
      </c>
    </row>
    <row r="2" spans="1:46" ht="17" thickBot="1">
      <c r="A2" s="27">
        <v>1</v>
      </c>
      <c r="B2" s="79" t="s">
        <v>17</v>
      </c>
      <c r="C2" s="32">
        <f t="shared" ref="C2:C33" si="0">INDEX($H2:$IV2,1,COUNTA($H2:$IV2))</f>
        <v>683.9</v>
      </c>
      <c r="D2" s="32">
        <f t="shared" ref="D2:D33" si="1">INDEX($H2:$IV2,1,COUNTA($H2:$IV2)-1)</f>
        <v>678.15</v>
      </c>
      <c r="E2" s="110">
        <v>-282.56999999999988</v>
      </c>
      <c r="F2" s="137">
        <v>500</v>
      </c>
      <c r="G2" s="71">
        <v>21</v>
      </c>
      <c r="H2" s="28">
        <v>338.55</v>
      </c>
      <c r="I2" s="43">
        <v>353.81</v>
      </c>
      <c r="J2" s="43">
        <v>371.01</v>
      </c>
      <c r="K2" s="43">
        <v>404.91</v>
      </c>
      <c r="L2" s="43">
        <v>431.05</v>
      </c>
      <c r="M2" s="43">
        <v>454.17</v>
      </c>
      <c r="N2" s="43">
        <v>474.45</v>
      </c>
      <c r="O2" s="43">
        <v>484.96</v>
      </c>
      <c r="P2" s="43">
        <v>486.6</v>
      </c>
      <c r="Q2" s="43">
        <v>497.41</v>
      </c>
      <c r="R2" s="43">
        <v>508.22</v>
      </c>
      <c r="S2" s="77">
        <v>0</v>
      </c>
      <c r="T2" s="77">
        <v>0.81</v>
      </c>
      <c r="U2" s="43">
        <v>29.18</v>
      </c>
      <c r="V2" s="43">
        <v>35.450000000000003</v>
      </c>
      <c r="W2" s="43">
        <v>47.05</v>
      </c>
      <c r="X2" s="43">
        <v>86.77</v>
      </c>
      <c r="Y2" s="43">
        <v>120.34</v>
      </c>
      <c r="Z2" s="106">
        <v>170.56</v>
      </c>
      <c r="AA2" s="106">
        <v>203.33</v>
      </c>
      <c r="AB2" s="106">
        <v>220.04</v>
      </c>
      <c r="AC2" s="106">
        <v>230.86</v>
      </c>
      <c r="AD2" s="106">
        <v>237.31</v>
      </c>
      <c r="AE2" s="106">
        <v>245.04</v>
      </c>
      <c r="AF2" s="106">
        <v>256.69</v>
      </c>
      <c r="AG2" s="106">
        <v>294.48</v>
      </c>
      <c r="AH2" s="106">
        <v>340.12</v>
      </c>
      <c r="AI2" s="106">
        <v>376.49</v>
      </c>
      <c r="AJ2" s="106">
        <v>410.87</v>
      </c>
      <c r="AK2" s="24">
        <v>433.59</v>
      </c>
      <c r="AL2" s="24">
        <v>458.7</v>
      </c>
      <c r="AM2" s="77">
        <v>458.7</v>
      </c>
      <c r="AN2" s="77">
        <v>458.7</v>
      </c>
      <c r="AO2" s="24">
        <v>484.49</v>
      </c>
      <c r="AP2" s="24">
        <v>526.91</v>
      </c>
      <c r="AQ2" s="24">
        <v>591.19000000000005</v>
      </c>
      <c r="AR2" s="24">
        <v>656.49</v>
      </c>
      <c r="AS2" s="24">
        <v>678.15</v>
      </c>
      <c r="AT2" s="24">
        <v>683.9</v>
      </c>
    </row>
    <row r="3" spans="1:46" ht="17" thickBot="1">
      <c r="A3" s="27">
        <v>1</v>
      </c>
      <c r="B3" s="82" t="s">
        <v>17</v>
      </c>
      <c r="C3" s="32">
        <f t="shared" si="0"/>
        <v>105.13</v>
      </c>
      <c r="D3" s="32">
        <f t="shared" si="1"/>
        <v>104.69</v>
      </c>
      <c r="E3" s="78"/>
      <c r="F3" s="86"/>
      <c r="G3" s="71">
        <v>21</v>
      </c>
      <c r="H3" s="29">
        <v>98.38</v>
      </c>
      <c r="I3" s="43">
        <v>101.39</v>
      </c>
      <c r="J3" s="43">
        <v>102.69</v>
      </c>
      <c r="K3" s="43">
        <v>102.69</v>
      </c>
      <c r="L3" s="43">
        <v>102.85</v>
      </c>
      <c r="M3" s="43">
        <v>106.9</v>
      </c>
      <c r="N3" s="43">
        <v>112.35</v>
      </c>
      <c r="O3" s="43">
        <v>116.45</v>
      </c>
      <c r="P3" s="43">
        <v>116.98</v>
      </c>
      <c r="Q3" s="43">
        <v>120.34</v>
      </c>
      <c r="R3" s="43">
        <v>123.7</v>
      </c>
      <c r="S3" s="77">
        <v>0</v>
      </c>
      <c r="T3" s="77">
        <v>7.99</v>
      </c>
      <c r="U3" s="43">
        <v>10.23</v>
      </c>
      <c r="V3" s="43">
        <v>10.82</v>
      </c>
      <c r="W3" s="43">
        <v>11.13</v>
      </c>
      <c r="X3" s="43">
        <v>13.99</v>
      </c>
      <c r="Y3" s="43">
        <v>20.29</v>
      </c>
      <c r="Z3" s="106">
        <v>30.15</v>
      </c>
      <c r="AA3" s="106">
        <v>37.340000000000003</v>
      </c>
      <c r="AB3" s="106">
        <v>42</v>
      </c>
      <c r="AC3" s="106">
        <v>46.72</v>
      </c>
      <c r="AD3" s="106">
        <v>47.89</v>
      </c>
      <c r="AE3" s="106">
        <v>49.57</v>
      </c>
      <c r="AF3" s="106">
        <v>51.97</v>
      </c>
      <c r="AG3" s="106">
        <v>52.61</v>
      </c>
      <c r="AH3" s="106">
        <v>55.15</v>
      </c>
      <c r="AI3" s="106">
        <v>58.52</v>
      </c>
      <c r="AJ3" s="106">
        <v>68.23</v>
      </c>
      <c r="AK3" s="24">
        <v>71.37</v>
      </c>
      <c r="AL3" s="24">
        <v>72.66</v>
      </c>
      <c r="AM3" s="77">
        <v>72.66</v>
      </c>
      <c r="AN3" s="77">
        <v>72.66</v>
      </c>
      <c r="AO3" s="24">
        <v>80.38</v>
      </c>
      <c r="AP3" s="24">
        <v>91.25</v>
      </c>
      <c r="AQ3" s="24">
        <v>96.34</v>
      </c>
      <c r="AR3" s="24">
        <v>102.97</v>
      </c>
      <c r="AS3" s="24">
        <v>104.69</v>
      </c>
      <c r="AT3" s="24">
        <v>105.13</v>
      </c>
    </row>
    <row r="4" spans="1:46" ht="17" thickBot="1">
      <c r="A4" s="27">
        <v>2</v>
      </c>
      <c r="B4" s="84" t="s">
        <v>18</v>
      </c>
      <c r="C4" s="32">
        <f t="shared" si="0"/>
        <v>0</v>
      </c>
      <c r="D4" s="32">
        <f t="shared" si="1"/>
        <v>0</v>
      </c>
      <c r="E4" s="110">
        <v>0</v>
      </c>
      <c r="F4" s="112"/>
      <c r="G4" s="72">
        <v>54</v>
      </c>
      <c r="H4" s="30">
        <v>20898.02</v>
      </c>
      <c r="I4" s="43">
        <v>21233.78</v>
      </c>
      <c r="J4" s="43">
        <v>21253</v>
      </c>
      <c r="K4" s="43">
        <v>21929.65</v>
      </c>
      <c r="L4" s="43">
        <v>22274</v>
      </c>
      <c r="M4" s="43">
        <v>22624.81</v>
      </c>
      <c r="N4" s="43">
        <v>22943</v>
      </c>
      <c r="O4" s="43">
        <v>23333</v>
      </c>
      <c r="P4" s="43">
        <v>23751</v>
      </c>
      <c r="Q4" s="43">
        <v>24146</v>
      </c>
      <c r="R4" s="43">
        <v>24542</v>
      </c>
      <c r="S4" s="77">
        <v>24542</v>
      </c>
      <c r="T4" s="77">
        <v>24542</v>
      </c>
      <c r="U4" s="43">
        <v>24950</v>
      </c>
      <c r="V4" s="43">
        <v>25436</v>
      </c>
      <c r="W4" s="43">
        <v>25934</v>
      </c>
      <c r="X4" s="43">
        <v>26387</v>
      </c>
      <c r="Y4" s="43">
        <v>26771.200000000001</v>
      </c>
      <c r="Z4" s="106">
        <v>27190</v>
      </c>
      <c r="AA4" s="106">
        <v>27628</v>
      </c>
      <c r="AB4" s="106">
        <v>28103</v>
      </c>
      <c r="AC4" s="106">
        <v>28711</v>
      </c>
      <c r="AD4" s="106">
        <v>0</v>
      </c>
      <c r="AE4" s="106">
        <v>0</v>
      </c>
      <c r="AF4" s="106">
        <v>0</v>
      </c>
      <c r="AG4" s="106">
        <v>0</v>
      </c>
      <c r="AH4" s="106">
        <v>0</v>
      </c>
      <c r="AI4" s="106">
        <v>0</v>
      </c>
      <c r="AJ4" s="106">
        <v>0</v>
      </c>
      <c r="AK4" s="106">
        <v>0</v>
      </c>
      <c r="AL4" s="106">
        <v>0</v>
      </c>
      <c r="AM4" s="77">
        <v>0</v>
      </c>
      <c r="AN4" s="77">
        <v>0</v>
      </c>
      <c r="AO4" s="106">
        <v>0</v>
      </c>
      <c r="AP4" s="106">
        <v>0</v>
      </c>
      <c r="AQ4" s="106">
        <v>0</v>
      </c>
      <c r="AR4" s="24">
        <v>0</v>
      </c>
      <c r="AS4" s="24">
        <v>0</v>
      </c>
      <c r="AT4" s="24">
        <v>0</v>
      </c>
    </row>
    <row r="5" spans="1:46" ht="17" thickBot="1">
      <c r="A5" s="27">
        <v>2</v>
      </c>
      <c r="B5" s="83" t="s">
        <v>18</v>
      </c>
      <c r="C5" s="32">
        <f t="shared" si="0"/>
        <v>0</v>
      </c>
      <c r="D5" s="32">
        <f t="shared" si="1"/>
        <v>0</v>
      </c>
      <c r="E5" s="78"/>
      <c r="F5" s="109"/>
      <c r="G5" s="72">
        <v>54</v>
      </c>
      <c r="H5" s="30">
        <v>9353.16</v>
      </c>
      <c r="I5" s="43">
        <v>9486.7800000000007</v>
      </c>
      <c r="J5" s="43">
        <v>9495</v>
      </c>
      <c r="K5" s="43">
        <v>9764.99</v>
      </c>
      <c r="L5" s="43">
        <v>9905</v>
      </c>
      <c r="M5" s="43">
        <v>10054.27</v>
      </c>
      <c r="N5" s="43">
        <v>10214</v>
      </c>
      <c r="O5" s="43">
        <v>10430</v>
      </c>
      <c r="P5" s="43">
        <v>10627</v>
      </c>
      <c r="Q5" s="43">
        <v>10859</v>
      </c>
      <c r="R5" s="43">
        <v>11046</v>
      </c>
      <c r="S5" s="77">
        <v>11046</v>
      </c>
      <c r="T5" s="77">
        <v>11046</v>
      </c>
      <c r="U5" s="43">
        <v>11231</v>
      </c>
      <c r="V5" s="43">
        <v>11423</v>
      </c>
      <c r="W5" s="43">
        <v>11622</v>
      </c>
      <c r="X5" s="43">
        <v>11813</v>
      </c>
      <c r="Y5" s="43">
        <v>11973.43</v>
      </c>
      <c r="Z5" s="106">
        <v>12181</v>
      </c>
      <c r="AA5" s="106">
        <v>12374.55</v>
      </c>
      <c r="AB5" s="106">
        <v>12610</v>
      </c>
      <c r="AC5" s="106">
        <v>12899</v>
      </c>
      <c r="AD5" s="106">
        <v>0</v>
      </c>
      <c r="AE5" s="106">
        <v>0</v>
      </c>
      <c r="AF5" s="106">
        <v>0</v>
      </c>
      <c r="AG5" s="106">
        <v>0</v>
      </c>
      <c r="AH5" s="106">
        <v>0</v>
      </c>
      <c r="AI5" s="106">
        <v>0</v>
      </c>
      <c r="AJ5" s="106">
        <v>0</v>
      </c>
      <c r="AK5" s="106">
        <v>0</v>
      </c>
      <c r="AL5" s="106">
        <v>0</v>
      </c>
      <c r="AM5" s="77">
        <v>0</v>
      </c>
      <c r="AN5" s="77">
        <v>0</v>
      </c>
      <c r="AO5" s="106">
        <v>0</v>
      </c>
      <c r="AP5" s="106">
        <v>0</v>
      </c>
      <c r="AQ5" s="106">
        <v>0</v>
      </c>
      <c r="AR5" s="24">
        <v>0</v>
      </c>
      <c r="AS5" s="24">
        <v>0</v>
      </c>
      <c r="AT5" s="24">
        <v>0</v>
      </c>
    </row>
    <row r="6" spans="1:46" ht="17" thickBot="1">
      <c r="A6" s="27">
        <v>3</v>
      </c>
      <c r="B6" s="84" t="s">
        <v>98</v>
      </c>
      <c r="C6" s="32">
        <f t="shared" si="0"/>
        <v>23549.72</v>
      </c>
      <c r="D6" s="32">
        <f t="shared" si="1"/>
        <v>23280.28</v>
      </c>
      <c r="E6" s="110">
        <v>8160.23</v>
      </c>
      <c r="F6" s="88"/>
      <c r="G6" s="72">
        <v>51</v>
      </c>
      <c r="H6" s="29">
        <v>12300.97</v>
      </c>
      <c r="I6" s="43">
        <v>12642.16</v>
      </c>
      <c r="J6" s="43">
        <v>12921.49</v>
      </c>
      <c r="K6" s="43">
        <v>13089.08</v>
      </c>
      <c r="L6" s="43">
        <v>13338.92</v>
      </c>
      <c r="M6" s="43">
        <v>13556.15</v>
      </c>
      <c r="N6" s="43">
        <v>13740.64</v>
      </c>
      <c r="O6" s="43">
        <v>14024.3</v>
      </c>
      <c r="P6" s="43">
        <v>14584.83</v>
      </c>
      <c r="Q6" s="43">
        <v>14902.39</v>
      </c>
      <c r="R6" s="43">
        <v>15106.31</v>
      </c>
      <c r="S6" s="77">
        <v>15106.31</v>
      </c>
      <c r="T6" s="77">
        <v>15106.31</v>
      </c>
      <c r="U6" s="43">
        <v>15367.76</v>
      </c>
      <c r="V6" s="43">
        <v>15675.84</v>
      </c>
      <c r="W6" s="43">
        <v>16014.9</v>
      </c>
      <c r="X6" s="43">
        <v>16307.53</v>
      </c>
      <c r="Y6" s="43">
        <v>16557.349999999999</v>
      </c>
      <c r="Z6" s="106">
        <v>16819.240000000002</v>
      </c>
      <c r="AA6" s="106">
        <v>17043.03</v>
      </c>
      <c r="AB6" s="106">
        <v>17388.439999999999</v>
      </c>
      <c r="AC6" s="106">
        <v>17995.66</v>
      </c>
      <c r="AD6" s="106">
        <v>18472.650000000001</v>
      </c>
      <c r="AE6" s="106">
        <v>18854.57</v>
      </c>
      <c r="AF6" s="106">
        <v>19107.09</v>
      </c>
      <c r="AG6" s="106">
        <v>19439.96</v>
      </c>
      <c r="AH6" s="106">
        <v>19855.93</v>
      </c>
      <c r="AI6" s="106">
        <v>20201.189999999999</v>
      </c>
      <c r="AJ6" s="106">
        <v>20659.47</v>
      </c>
      <c r="AK6" s="24">
        <v>20981.42</v>
      </c>
      <c r="AL6" s="24">
        <v>21322.31</v>
      </c>
      <c r="AM6" s="77">
        <v>21322.31</v>
      </c>
      <c r="AN6" s="77">
        <v>21322.31</v>
      </c>
      <c r="AO6" s="24">
        <v>21596.05</v>
      </c>
      <c r="AP6" s="24">
        <v>21859.96</v>
      </c>
      <c r="AQ6" s="24">
        <v>22324.48</v>
      </c>
      <c r="AR6" s="24">
        <v>23008.34</v>
      </c>
      <c r="AS6" s="24">
        <v>23280.28</v>
      </c>
      <c r="AT6" s="24">
        <v>23549.72</v>
      </c>
    </row>
    <row r="7" spans="1:46" ht="17" thickBot="1">
      <c r="A7" s="27">
        <v>3</v>
      </c>
      <c r="B7" s="83" t="s">
        <v>19</v>
      </c>
      <c r="C7" s="32">
        <f t="shared" si="0"/>
        <v>8771.92</v>
      </c>
      <c r="D7" s="32">
        <f t="shared" si="1"/>
        <v>8584.14</v>
      </c>
      <c r="E7" s="78"/>
      <c r="F7" s="86"/>
      <c r="G7" s="72">
        <v>51</v>
      </c>
      <c r="H7" s="29">
        <v>3672.18</v>
      </c>
      <c r="I7" s="43">
        <v>3808.71</v>
      </c>
      <c r="J7" s="43">
        <v>3935.03</v>
      </c>
      <c r="K7" s="43">
        <v>4004.78</v>
      </c>
      <c r="L7" s="43">
        <v>4100.9399999999996</v>
      </c>
      <c r="M7" s="43">
        <v>4194.75</v>
      </c>
      <c r="N7" s="43">
        <v>4262.8599999999997</v>
      </c>
      <c r="O7" s="43">
        <v>4319.12</v>
      </c>
      <c r="P7" s="43">
        <v>4448.78</v>
      </c>
      <c r="Q7" s="43">
        <v>4541.68</v>
      </c>
      <c r="R7" s="43">
        <v>4618.3100000000004</v>
      </c>
      <c r="S7" s="77">
        <v>4618.3100000000004</v>
      </c>
      <c r="T7" s="77">
        <v>4618.3100000000004</v>
      </c>
      <c r="U7" s="43">
        <v>4711.29</v>
      </c>
      <c r="V7" s="43">
        <v>4821.18</v>
      </c>
      <c r="W7" s="43">
        <v>4937.6499999999996</v>
      </c>
      <c r="X7" s="43">
        <v>5046.26</v>
      </c>
      <c r="Y7" s="43">
        <v>5144.8500000000004</v>
      </c>
      <c r="Z7" s="106">
        <v>5243.09</v>
      </c>
      <c r="AA7" s="106">
        <v>5329.02</v>
      </c>
      <c r="AB7" s="106">
        <v>5410.87</v>
      </c>
      <c r="AC7" s="106">
        <v>5560.6</v>
      </c>
      <c r="AD7" s="106">
        <v>5712.29</v>
      </c>
      <c r="AE7" s="106">
        <v>5834.71</v>
      </c>
      <c r="AF7" s="106">
        <v>6054.29</v>
      </c>
      <c r="AG7" s="106">
        <v>6342.24</v>
      </c>
      <c r="AH7" s="106">
        <v>6594.31</v>
      </c>
      <c r="AI7" s="106">
        <v>6788.58</v>
      </c>
      <c r="AJ7" s="106">
        <v>7051.98</v>
      </c>
      <c r="AK7" s="24">
        <v>7290.51</v>
      </c>
      <c r="AL7" s="24">
        <v>7554.16</v>
      </c>
      <c r="AM7" s="77">
        <v>7554.16</v>
      </c>
      <c r="AN7" s="77">
        <v>7554.16</v>
      </c>
      <c r="AO7" s="24">
        <v>7724.31</v>
      </c>
      <c r="AP7" s="24">
        <v>7930.48</v>
      </c>
      <c r="AQ7" s="24">
        <v>8161.39</v>
      </c>
      <c r="AR7" s="24">
        <v>8440.0400000000009</v>
      </c>
      <c r="AS7" s="24">
        <v>8584.14</v>
      </c>
      <c r="AT7" s="24">
        <v>8771.92</v>
      </c>
    </row>
    <row r="8" spans="1:46" ht="17" thickBot="1">
      <c r="A8" s="27">
        <v>4</v>
      </c>
      <c r="B8" s="79" t="s">
        <v>20</v>
      </c>
      <c r="C8" s="32">
        <f t="shared" si="0"/>
        <v>20395.7</v>
      </c>
      <c r="D8" s="32">
        <f t="shared" si="1"/>
        <v>20213.43</v>
      </c>
      <c r="E8" s="112">
        <v>2391.64</v>
      </c>
      <c r="F8" s="129"/>
      <c r="G8" s="72">
        <v>35</v>
      </c>
      <c r="H8" s="29">
        <v>14583.37</v>
      </c>
      <c r="I8" s="43">
        <v>14820.84</v>
      </c>
      <c r="J8" s="43">
        <v>15016.04</v>
      </c>
      <c r="K8" s="43">
        <v>15188.39</v>
      </c>
      <c r="L8" s="43">
        <v>15365.43</v>
      </c>
      <c r="M8" s="43">
        <v>15544.14</v>
      </c>
      <c r="N8" s="43">
        <v>15711.87</v>
      </c>
      <c r="O8" s="43">
        <v>15862.24</v>
      </c>
      <c r="P8" s="43">
        <v>15982.6</v>
      </c>
      <c r="Q8" s="43">
        <v>16118.65</v>
      </c>
      <c r="R8" s="43">
        <v>16278.21</v>
      </c>
      <c r="S8" s="77">
        <v>16278.21</v>
      </c>
      <c r="T8" s="77">
        <v>16278.21</v>
      </c>
      <c r="U8" s="43">
        <v>16451.169999999998</v>
      </c>
      <c r="V8" s="43">
        <v>16648.91</v>
      </c>
      <c r="W8" s="43">
        <v>16893.39</v>
      </c>
      <c r="X8" s="43">
        <v>17069.71</v>
      </c>
      <c r="Y8" s="43">
        <v>17242.78</v>
      </c>
      <c r="Z8" s="106">
        <v>17408.32</v>
      </c>
      <c r="AA8" s="106">
        <v>17587.68</v>
      </c>
      <c r="AB8" s="106">
        <v>17726.93</v>
      </c>
      <c r="AC8" s="106">
        <v>17853.71</v>
      </c>
      <c r="AD8" s="106">
        <v>17972.77</v>
      </c>
      <c r="AE8" s="106">
        <v>18108.099999999999</v>
      </c>
      <c r="AF8" s="106">
        <v>18269.38</v>
      </c>
      <c r="AG8" s="106">
        <v>18450.490000000002</v>
      </c>
      <c r="AH8" s="106">
        <v>18672</v>
      </c>
      <c r="AI8" s="106">
        <v>18812.900000000001</v>
      </c>
      <c r="AJ8" s="106">
        <v>19102.12</v>
      </c>
      <c r="AK8" s="24">
        <v>19289.66</v>
      </c>
      <c r="AL8" s="24">
        <v>19508.66</v>
      </c>
      <c r="AM8" s="77">
        <v>19508.66</v>
      </c>
      <c r="AN8" s="77">
        <v>19508.66</v>
      </c>
      <c r="AO8" s="24">
        <v>19693.78</v>
      </c>
      <c r="AP8" s="24">
        <v>19835.689999999999</v>
      </c>
      <c r="AQ8" s="24">
        <v>19952.240000000002</v>
      </c>
      <c r="AR8" s="24">
        <v>20081.189999999999</v>
      </c>
      <c r="AS8" s="24">
        <v>20213.43</v>
      </c>
      <c r="AT8" s="24">
        <v>20395.7</v>
      </c>
    </row>
    <row r="9" spans="1:46" ht="17" thickBot="1">
      <c r="A9" s="27">
        <v>4</v>
      </c>
      <c r="B9" s="82" t="s">
        <v>20</v>
      </c>
      <c r="C9" s="32">
        <f t="shared" si="0"/>
        <v>5911.38</v>
      </c>
      <c r="D9" s="32">
        <f t="shared" si="1"/>
        <v>5842.58</v>
      </c>
      <c r="E9" s="78"/>
      <c r="F9" s="86"/>
      <c r="G9" s="72">
        <v>35</v>
      </c>
      <c r="H9" s="29">
        <v>3782.01</v>
      </c>
      <c r="I9" s="43">
        <v>3865.29</v>
      </c>
      <c r="J9" s="43">
        <v>3945.07</v>
      </c>
      <c r="K9" s="43">
        <v>4012.05</v>
      </c>
      <c r="L9" s="43">
        <v>4079.6</v>
      </c>
      <c r="M9" s="43">
        <v>4153.63</v>
      </c>
      <c r="N9" s="43">
        <v>4229.21</v>
      </c>
      <c r="O9" s="43">
        <v>4299.75</v>
      </c>
      <c r="P9" s="43">
        <v>4354.47</v>
      </c>
      <c r="Q9" s="43">
        <v>4408.1400000000003</v>
      </c>
      <c r="R9" s="43">
        <v>4464.6499999999996</v>
      </c>
      <c r="S9" s="77">
        <v>4464.6499999999996</v>
      </c>
      <c r="T9" s="77">
        <v>4464.6499999999996</v>
      </c>
      <c r="U9" s="43">
        <v>4528.13</v>
      </c>
      <c r="V9" s="43">
        <v>4590.25</v>
      </c>
      <c r="W9" s="43">
        <v>4671.3999999999996</v>
      </c>
      <c r="X9" s="43">
        <v>4729.33</v>
      </c>
      <c r="Y9" s="43">
        <v>4784.46</v>
      </c>
      <c r="Z9" s="106">
        <v>4845.91</v>
      </c>
      <c r="AA9" s="106">
        <v>4917.9399999999996</v>
      </c>
      <c r="AB9" s="106">
        <v>4971.59</v>
      </c>
      <c r="AC9" s="106">
        <v>5019.1499999999996</v>
      </c>
      <c r="AD9" s="106">
        <v>5072.28</v>
      </c>
      <c r="AE9" s="106">
        <v>5130.12</v>
      </c>
      <c r="AF9" s="106">
        <v>5186.4799999999996</v>
      </c>
      <c r="AG9" s="106">
        <v>5246.31</v>
      </c>
      <c r="AH9" s="106">
        <v>5307.85</v>
      </c>
      <c r="AI9" s="106">
        <v>5361.98</v>
      </c>
      <c r="AJ9" s="106">
        <v>5449.33</v>
      </c>
      <c r="AK9" s="24">
        <v>5514.05</v>
      </c>
      <c r="AL9" s="24">
        <v>5580.08</v>
      </c>
      <c r="AM9" s="77">
        <v>5580.08</v>
      </c>
      <c r="AN9" s="77">
        <v>5580.08</v>
      </c>
      <c r="AO9" s="24">
        <v>5645.8</v>
      </c>
      <c r="AP9" s="24">
        <v>5713.01</v>
      </c>
      <c r="AQ9" s="24">
        <v>5756.92</v>
      </c>
      <c r="AR9" s="24">
        <v>5801.23</v>
      </c>
      <c r="AS9" s="24">
        <v>5842.58</v>
      </c>
      <c r="AT9" s="24">
        <v>5911.38</v>
      </c>
    </row>
    <row r="10" spans="1:46" ht="17" thickBot="1">
      <c r="A10" s="27">
        <v>5</v>
      </c>
      <c r="B10" s="79" t="s">
        <v>21</v>
      </c>
      <c r="C10" s="32">
        <f t="shared" si="0"/>
        <v>2980.63</v>
      </c>
      <c r="D10" s="32">
        <f t="shared" si="1"/>
        <v>2953.62</v>
      </c>
      <c r="E10" s="111">
        <v>-299.95</v>
      </c>
      <c r="F10" s="129"/>
      <c r="G10" s="72">
        <v>46</v>
      </c>
      <c r="H10" s="29">
        <v>1897.12</v>
      </c>
      <c r="I10" s="43">
        <v>1928.24</v>
      </c>
      <c r="J10" s="43">
        <v>1954.73</v>
      </c>
      <c r="K10" s="43">
        <v>1973.92</v>
      </c>
      <c r="L10" s="43">
        <v>2000.46</v>
      </c>
      <c r="M10" s="43">
        <v>2059.64</v>
      </c>
      <c r="N10" s="43">
        <v>2063.0100000000002</v>
      </c>
      <c r="O10" s="43">
        <v>2099.4699999999998</v>
      </c>
      <c r="P10" s="43">
        <v>2140.34</v>
      </c>
      <c r="Q10" s="43">
        <v>2184.75</v>
      </c>
      <c r="R10" s="43">
        <v>2222.5700000000002</v>
      </c>
      <c r="S10" s="77">
        <v>2222.5700000000002</v>
      </c>
      <c r="T10" s="77">
        <v>2222.5700000000002</v>
      </c>
      <c r="U10" s="43">
        <v>2252.5300000000002</v>
      </c>
      <c r="V10" s="43">
        <v>2279.17</v>
      </c>
      <c r="W10" s="43">
        <v>2306.81</v>
      </c>
      <c r="X10" s="43">
        <v>2337.17</v>
      </c>
      <c r="Y10" s="43">
        <v>2362.02</v>
      </c>
      <c r="Z10" s="106">
        <v>2393.0100000000002</v>
      </c>
      <c r="AA10" s="106">
        <v>2416.62</v>
      </c>
      <c r="AB10" s="106">
        <v>2446.48</v>
      </c>
      <c r="AC10" s="106">
        <v>2484.19</v>
      </c>
      <c r="AD10" s="106">
        <v>2525.88</v>
      </c>
      <c r="AE10" s="106">
        <v>2572.8200000000002</v>
      </c>
      <c r="AF10" s="106">
        <v>2607.41</v>
      </c>
      <c r="AG10" s="106">
        <v>2637.27</v>
      </c>
      <c r="AH10" s="106">
        <v>2667.09</v>
      </c>
      <c r="AI10" s="106">
        <v>2692.92</v>
      </c>
      <c r="AJ10" s="106">
        <v>2716.9</v>
      </c>
      <c r="AK10" s="24">
        <v>2742.9</v>
      </c>
      <c r="AL10" s="24">
        <v>2779.58</v>
      </c>
      <c r="AM10" s="77">
        <v>2779.58</v>
      </c>
      <c r="AN10" s="77">
        <v>2779.58</v>
      </c>
      <c r="AO10" s="24">
        <v>2809.46</v>
      </c>
      <c r="AP10" s="24">
        <v>2848.37</v>
      </c>
      <c r="AQ10" s="24">
        <v>2888.9</v>
      </c>
      <c r="AR10" s="24">
        <v>2927.85</v>
      </c>
      <c r="AS10" s="24">
        <v>2953.62</v>
      </c>
      <c r="AT10" s="24">
        <v>2980.63</v>
      </c>
    </row>
    <row r="11" spans="1:46" ht="17" thickBot="1">
      <c r="A11" s="27">
        <v>5</v>
      </c>
      <c r="B11" s="82" t="s">
        <v>21</v>
      </c>
      <c r="C11" s="32">
        <f t="shared" si="0"/>
        <v>561.35</v>
      </c>
      <c r="D11" s="32">
        <f t="shared" si="1"/>
        <v>556.36</v>
      </c>
      <c r="E11" s="78"/>
      <c r="F11" s="86"/>
      <c r="G11" s="72">
        <v>46</v>
      </c>
      <c r="H11" s="29">
        <v>351.86</v>
      </c>
      <c r="I11" s="43">
        <v>356.8</v>
      </c>
      <c r="J11" s="43">
        <v>360.74</v>
      </c>
      <c r="K11" s="43">
        <v>364.37</v>
      </c>
      <c r="L11" s="43">
        <v>368.63</v>
      </c>
      <c r="M11" s="43">
        <v>373.7</v>
      </c>
      <c r="N11" s="43">
        <v>381.02</v>
      </c>
      <c r="O11" s="43">
        <v>389.32</v>
      </c>
      <c r="P11" s="43">
        <v>397.93</v>
      </c>
      <c r="Q11" s="43">
        <v>406.39</v>
      </c>
      <c r="R11" s="43">
        <v>413.94</v>
      </c>
      <c r="S11" s="77">
        <v>413.94</v>
      </c>
      <c r="T11" s="77">
        <v>413.94</v>
      </c>
      <c r="U11" s="43">
        <v>419.55</v>
      </c>
      <c r="V11" s="43">
        <v>423.45</v>
      </c>
      <c r="W11" s="43">
        <v>426.94</v>
      </c>
      <c r="X11" s="43">
        <v>429.94</v>
      </c>
      <c r="Y11" s="43">
        <v>432.99</v>
      </c>
      <c r="Z11" s="106">
        <v>437.85</v>
      </c>
      <c r="AA11" s="106">
        <v>442.66</v>
      </c>
      <c r="AB11" s="106">
        <v>449.91</v>
      </c>
      <c r="AC11" s="106">
        <v>458.6</v>
      </c>
      <c r="AD11" s="106">
        <v>467.8</v>
      </c>
      <c r="AE11" s="106">
        <v>477.13</v>
      </c>
      <c r="AF11" s="106">
        <v>485.42</v>
      </c>
      <c r="AG11" s="106">
        <v>491.82</v>
      </c>
      <c r="AH11" s="106">
        <v>496.98</v>
      </c>
      <c r="AI11" s="106">
        <v>501.62</v>
      </c>
      <c r="AJ11" s="106">
        <v>504.98</v>
      </c>
      <c r="AK11" s="24">
        <v>509.12</v>
      </c>
      <c r="AL11" s="24">
        <v>515.53</v>
      </c>
      <c r="AM11" s="77">
        <v>515.53</v>
      </c>
      <c r="AN11" s="77">
        <v>515.53</v>
      </c>
      <c r="AO11" s="24">
        <v>523.17999999999995</v>
      </c>
      <c r="AP11" s="24">
        <v>531.25</v>
      </c>
      <c r="AQ11" s="24">
        <v>540.41</v>
      </c>
      <c r="AR11" s="24">
        <v>549.35</v>
      </c>
      <c r="AS11" s="24">
        <v>556.36</v>
      </c>
      <c r="AT11" s="24">
        <v>561.35</v>
      </c>
    </row>
    <row r="12" spans="1:46" ht="17" thickBot="1">
      <c r="A12" s="27">
        <v>6</v>
      </c>
      <c r="B12" s="113" t="s">
        <v>22</v>
      </c>
      <c r="C12" s="32">
        <f t="shared" si="0"/>
        <v>10011.4</v>
      </c>
      <c r="D12" s="32">
        <f t="shared" si="1"/>
        <v>9822.7999999999993</v>
      </c>
      <c r="E12" s="54">
        <v>-1452.49</v>
      </c>
      <c r="F12" s="129"/>
      <c r="G12" s="72">
        <v>17</v>
      </c>
      <c r="H12" s="29">
        <v>955.8</v>
      </c>
      <c r="I12" s="43">
        <v>1762.8</v>
      </c>
      <c r="J12" s="43">
        <v>2829.7</v>
      </c>
      <c r="K12" s="43">
        <v>3702.8</v>
      </c>
      <c r="L12" s="43">
        <v>4335.6000000000004</v>
      </c>
      <c r="M12" s="43">
        <v>4710.2</v>
      </c>
      <c r="N12" s="43">
        <v>4796</v>
      </c>
      <c r="O12" s="43">
        <v>4875.7</v>
      </c>
      <c r="P12" s="43">
        <v>4955.8</v>
      </c>
      <c r="Q12" s="43">
        <v>5033.5</v>
      </c>
      <c r="R12" s="43">
        <v>5149.8999999999996</v>
      </c>
      <c r="S12" s="77">
        <v>5149.8999999999996</v>
      </c>
      <c r="T12" s="77">
        <v>5149.8999999999996</v>
      </c>
      <c r="U12" s="80">
        <v>5311.2</v>
      </c>
      <c r="V12" s="80">
        <v>5805</v>
      </c>
      <c r="W12" s="43">
        <v>6209.3</v>
      </c>
      <c r="X12" s="43">
        <v>6492.9</v>
      </c>
      <c r="Y12" s="43">
        <v>6972</v>
      </c>
      <c r="Z12" s="106">
        <v>7145.3</v>
      </c>
      <c r="AA12" s="106">
        <v>7214.4</v>
      </c>
      <c r="AB12" s="106">
        <v>7287</v>
      </c>
      <c r="AC12" s="106">
        <v>7378.2</v>
      </c>
      <c r="AD12" s="106">
        <v>7465.5</v>
      </c>
      <c r="AE12" s="106">
        <v>7552</v>
      </c>
      <c r="AF12" s="106">
        <v>7647.4</v>
      </c>
      <c r="AG12" s="106">
        <v>7884.5</v>
      </c>
      <c r="AH12" s="106">
        <v>8305.9</v>
      </c>
      <c r="AI12" s="106">
        <v>8847.9</v>
      </c>
      <c r="AJ12" s="106">
        <v>9477</v>
      </c>
      <c r="AK12" s="24">
        <v>9477.4</v>
      </c>
      <c r="AL12" s="24">
        <v>9477.7999999999993</v>
      </c>
      <c r="AM12" s="77">
        <v>9477.7999999999993</v>
      </c>
      <c r="AN12" s="77">
        <v>9477.7999999999993</v>
      </c>
      <c r="AO12" s="24">
        <v>9564.1</v>
      </c>
      <c r="AP12" s="24">
        <v>9602.5</v>
      </c>
      <c r="AQ12" s="24">
        <v>9664.9</v>
      </c>
      <c r="AR12" s="24">
        <v>9758</v>
      </c>
      <c r="AS12" s="24">
        <v>9822.7999999999993</v>
      </c>
      <c r="AT12" s="24">
        <v>10011.4</v>
      </c>
    </row>
    <row r="13" spans="1:46" ht="17" thickBot="1">
      <c r="A13" s="27">
        <v>7</v>
      </c>
      <c r="B13" s="79" t="s">
        <v>23</v>
      </c>
      <c r="C13" s="32">
        <f t="shared" si="0"/>
        <v>20682.759999999998</v>
      </c>
      <c r="D13" s="32">
        <f t="shared" si="1"/>
        <v>20464.02</v>
      </c>
      <c r="E13" s="112">
        <v>1079.5599999999995</v>
      </c>
      <c r="F13" s="137">
        <v>1081.4000000000001</v>
      </c>
      <c r="G13" s="72">
        <v>3</v>
      </c>
      <c r="H13" s="29">
        <v>13457.47</v>
      </c>
      <c r="I13" s="43">
        <v>13701.58</v>
      </c>
      <c r="J13" s="43">
        <v>13953.08</v>
      </c>
      <c r="K13" s="43">
        <v>14155.46</v>
      </c>
      <c r="L13" s="43">
        <v>14396.65</v>
      </c>
      <c r="M13" s="43">
        <v>14586.26</v>
      </c>
      <c r="N13" s="43">
        <v>14756.9</v>
      </c>
      <c r="O13" s="43">
        <v>15068.15</v>
      </c>
      <c r="P13" s="43">
        <v>15434.42</v>
      </c>
      <c r="Q13" s="43">
        <v>15662.68</v>
      </c>
      <c r="R13" s="43">
        <v>15819.18</v>
      </c>
      <c r="S13" s="77">
        <v>15819.18</v>
      </c>
      <c r="T13" s="77">
        <v>15819.18</v>
      </c>
      <c r="U13" s="43">
        <v>16002.92</v>
      </c>
      <c r="V13" s="43">
        <v>16170.99</v>
      </c>
      <c r="W13" s="43">
        <v>16375.25</v>
      </c>
      <c r="X13" s="43">
        <v>16627.330000000002</v>
      </c>
      <c r="Y13" s="43">
        <v>16839.71</v>
      </c>
      <c r="Z13" s="106">
        <v>17079.59</v>
      </c>
      <c r="AA13" s="106">
        <v>17292.14</v>
      </c>
      <c r="AB13" s="106">
        <v>17533.05</v>
      </c>
      <c r="AC13" s="106">
        <v>17906.18</v>
      </c>
      <c r="AD13" s="106">
        <v>18189.560000000001</v>
      </c>
      <c r="AE13" s="106">
        <v>18392.07</v>
      </c>
      <c r="AF13" s="106">
        <v>18580.189999999999</v>
      </c>
      <c r="AG13" s="106">
        <v>18738.11</v>
      </c>
      <c r="AH13" s="106">
        <v>18942.37</v>
      </c>
      <c r="AI13" s="106">
        <v>19159.2</v>
      </c>
      <c r="AJ13" s="106">
        <v>19367.900000000001</v>
      </c>
      <c r="AK13" s="24">
        <v>19564.990000000002</v>
      </c>
      <c r="AL13" s="24">
        <v>19757.060000000001</v>
      </c>
      <c r="AM13" s="77">
        <v>19757.060000000001</v>
      </c>
      <c r="AN13" s="77">
        <v>19757.060000000001</v>
      </c>
      <c r="AO13" s="24">
        <v>19925.23</v>
      </c>
      <c r="AP13" s="24">
        <v>20067.62</v>
      </c>
      <c r="AQ13" s="24">
        <v>20183.98</v>
      </c>
      <c r="AR13" s="24">
        <v>20298.32</v>
      </c>
      <c r="AS13" s="24">
        <v>20464.02</v>
      </c>
      <c r="AT13" s="24">
        <v>20682.759999999998</v>
      </c>
    </row>
    <row r="14" spans="1:46" ht="17" thickBot="1">
      <c r="A14" s="27">
        <v>7</v>
      </c>
      <c r="B14" s="82" t="s">
        <v>23</v>
      </c>
      <c r="C14" s="32">
        <f t="shared" si="0"/>
        <v>6661.37</v>
      </c>
      <c r="D14" s="32">
        <f t="shared" si="1"/>
        <v>6589.22</v>
      </c>
      <c r="E14" s="78"/>
      <c r="F14" s="86"/>
      <c r="G14" s="72">
        <v>3</v>
      </c>
      <c r="H14" s="29">
        <v>4336.7</v>
      </c>
      <c r="I14" s="43">
        <v>4414.1000000000004</v>
      </c>
      <c r="J14" s="43">
        <v>4485.49</v>
      </c>
      <c r="K14" s="43">
        <v>4549.62</v>
      </c>
      <c r="L14" s="43">
        <v>4618.24</v>
      </c>
      <c r="M14" s="43">
        <v>4682.97</v>
      </c>
      <c r="N14" s="43">
        <v>4737.18</v>
      </c>
      <c r="O14" s="43">
        <v>4800.45</v>
      </c>
      <c r="P14" s="43">
        <v>4868.3599999999997</v>
      </c>
      <c r="Q14" s="43">
        <v>4928.9799999999996</v>
      </c>
      <c r="R14" s="43">
        <v>4986.6899999999996</v>
      </c>
      <c r="S14" s="77">
        <v>4986.6899999999996</v>
      </c>
      <c r="T14" s="77">
        <v>4986.6899999999996</v>
      </c>
      <c r="U14" s="43">
        <v>5058.5200000000004</v>
      </c>
      <c r="V14" s="43">
        <v>5122.1000000000004</v>
      </c>
      <c r="W14" s="43">
        <v>5189.26</v>
      </c>
      <c r="X14" s="43">
        <v>5265.23</v>
      </c>
      <c r="Y14" s="43">
        <v>5347.31</v>
      </c>
      <c r="Z14" s="106">
        <v>5432.23</v>
      </c>
      <c r="AA14" s="106">
        <v>5500.8</v>
      </c>
      <c r="AB14" s="106">
        <v>5563.4</v>
      </c>
      <c r="AC14" s="106">
        <v>5644.32</v>
      </c>
      <c r="AD14" s="106">
        <v>5740.73</v>
      </c>
      <c r="AE14" s="106">
        <v>5801.6</v>
      </c>
      <c r="AF14" s="106">
        <v>5868.41</v>
      </c>
      <c r="AG14" s="106">
        <v>5931.26</v>
      </c>
      <c r="AH14" s="106">
        <v>6002.81</v>
      </c>
      <c r="AI14" s="106">
        <v>6073.14</v>
      </c>
      <c r="AJ14" s="106">
        <v>6148.29</v>
      </c>
      <c r="AK14" s="24">
        <v>6212.95</v>
      </c>
      <c r="AL14" s="24">
        <v>6284.21</v>
      </c>
      <c r="AM14" s="77">
        <v>6284.21</v>
      </c>
      <c r="AN14" s="77">
        <v>6284.21</v>
      </c>
      <c r="AO14" s="24">
        <v>6353.38</v>
      </c>
      <c r="AP14" s="24">
        <v>6413.87</v>
      </c>
      <c r="AQ14" s="24">
        <v>6467.34</v>
      </c>
      <c r="AR14" s="24">
        <v>6523.15</v>
      </c>
      <c r="AS14" s="24">
        <v>6589.22</v>
      </c>
      <c r="AT14" s="24">
        <v>6661.37</v>
      </c>
    </row>
    <row r="15" spans="1:46" ht="17" thickBot="1">
      <c r="A15" s="27">
        <v>8</v>
      </c>
      <c r="B15" s="79" t="s">
        <v>61</v>
      </c>
      <c r="C15" s="32">
        <f t="shared" si="0"/>
        <v>12116.96</v>
      </c>
      <c r="D15" s="32">
        <f t="shared" si="1"/>
        <v>11948.97</v>
      </c>
      <c r="E15" s="110">
        <v>1643.1200000000008</v>
      </c>
      <c r="F15" s="137">
        <v>6643</v>
      </c>
      <c r="G15" s="72">
        <v>44</v>
      </c>
      <c r="H15" s="29">
        <v>4912.1400000000003</v>
      </c>
      <c r="I15" s="43">
        <v>5131.2</v>
      </c>
      <c r="J15" s="43">
        <v>5334.48</v>
      </c>
      <c r="K15" s="43">
        <v>5519.42</v>
      </c>
      <c r="L15" s="43">
        <v>5718.16</v>
      </c>
      <c r="M15" s="43">
        <v>5865.55</v>
      </c>
      <c r="N15" s="43">
        <v>5975.72</v>
      </c>
      <c r="O15" s="43">
        <v>6108.8</v>
      </c>
      <c r="P15" s="43">
        <v>6240.69</v>
      </c>
      <c r="Q15" s="43">
        <v>6366.34</v>
      </c>
      <c r="R15" s="43">
        <v>6473.55</v>
      </c>
      <c r="S15" s="77">
        <v>6473.55</v>
      </c>
      <c r="T15" s="77">
        <v>6473.55</v>
      </c>
      <c r="U15" s="43">
        <v>6617.2</v>
      </c>
      <c r="V15" s="43">
        <v>6834.47</v>
      </c>
      <c r="W15" s="43">
        <v>7032.56</v>
      </c>
      <c r="X15" s="43">
        <v>7228.87</v>
      </c>
      <c r="Y15" s="43">
        <v>7426.07</v>
      </c>
      <c r="Z15" s="106">
        <v>7608.28</v>
      </c>
      <c r="AA15" s="106">
        <v>7732.58</v>
      </c>
      <c r="AB15" s="106">
        <v>7835.33</v>
      </c>
      <c r="AC15" s="106">
        <v>7943.8</v>
      </c>
      <c r="AD15" s="106">
        <v>8055.64</v>
      </c>
      <c r="AE15" s="106">
        <v>8221.4</v>
      </c>
      <c r="AF15" s="106">
        <v>8345.84</v>
      </c>
      <c r="AG15" s="106">
        <v>8555.1</v>
      </c>
      <c r="AH15" s="106">
        <v>8787.2099999999991</v>
      </c>
      <c r="AI15" s="106">
        <v>9007.2099999999991</v>
      </c>
      <c r="AJ15" s="106">
        <v>9237.2099999999991</v>
      </c>
      <c r="AK15" s="24">
        <v>9450.2099999999991</v>
      </c>
      <c r="AL15" s="24">
        <v>9940.02</v>
      </c>
      <c r="AM15" s="77">
        <v>9940.02</v>
      </c>
      <c r="AN15" s="77">
        <v>9940.02</v>
      </c>
      <c r="AO15" s="24">
        <v>10293.219999999999</v>
      </c>
      <c r="AP15" s="24">
        <v>10598.88</v>
      </c>
      <c r="AQ15" s="24">
        <v>10989.03</v>
      </c>
      <c r="AR15" s="24">
        <v>11498.97</v>
      </c>
      <c r="AS15" s="24">
        <v>11948.97</v>
      </c>
      <c r="AT15" s="24">
        <v>12116.96</v>
      </c>
    </row>
    <row r="16" spans="1:46" ht="17" thickBot="1">
      <c r="A16" s="27">
        <v>8</v>
      </c>
      <c r="B16" s="82" t="s">
        <v>61</v>
      </c>
      <c r="C16" s="32">
        <f t="shared" si="0"/>
        <v>5784.35</v>
      </c>
      <c r="D16" s="32">
        <f t="shared" si="1"/>
        <v>5731.93</v>
      </c>
      <c r="E16" s="78"/>
      <c r="F16" s="86"/>
      <c r="G16" s="72">
        <v>44</v>
      </c>
      <c r="H16" s="29">
        <v>2060.48</v>
      </c>
      <c r="I16" s="43">
        <v>2173.2199999999998</v>
      </c>
      <c r="J16" s="43">
        <v>2274.91</v>
      </c>
      <c r="K16" s="43">
        <v>2367.9299999999998</v>
      </c>
      <c r="L16" s="43">
        <v>2482.27</v>
      </c>
      <c r="M16" s="43">
        <v>2577.4499999999998</v>
      </c>
      <c r="N16" s="43">
        <v>2659.02</v>
      </c>
      <c r="O16" s="43">
        <v>2732.84</v>
      </c>
      <c r="P16" s="43">
        <v>2792.08</v>
      </c>
      <c r="Q16" s="43">
        <v>2873.12</v>
      </c>
      <c r="R16" s="43">
        <v>2958.85</v>
      </c>
      <c r="S16" s="77">
        <v>2958.85</v>
      </c>
      <c r="T16" s="77">
        <v>2958.85</v>
      </c>
      <c r="U16" s="43">
        <v>3035.76</v>
      </c>
      <c r="V16" s="43">
        <v>3139.49</v>
      </c>
      <c r="W16" s="43">
        <v>3236.26</v>
      </c>
      <c r="X16" s="43">
        <v>3329.31</v>
      </c>
      <c r="Y16" s="43">
        <v>3424.22</v>
      </c>
      <c r="Z16" s="106">
        <v>3545.33</v>
      </c>
      <c r="AA16" s="106">
        <v>3644.66</v>
      </c>
      <c r="AB16" s="106">
        <v>3743.93</v>
      </c>
      <c r="AC16" s="106">
        <v>3837.48</v>
      </c>
      <c r="AD16" s="106">
        <v>3937.48</v>
      </c>
      <c r="AE16" s="106">
        <v>4013.55</v>
      </c>
      <c r="AF16" s="106">
        <v>4082.01</v>
      </c>
      <c r="AG16" s="106">
        <v>4190.5</v>
      </c>
      <c r="AH16" s="106">
        <v>4302.51</v>
      </c>
      <c r="AI16" s="106">
        <v>4411.3100000000004</v>
      </c>
      <c r="AJ16" s="106">
        <v>4511.3100000000004</v>
      </c>
      <c r="AK16" s="24">
        <v>4615.3100000000004</v>
      </c>
      <c r="AL16" s="24">
        <v>4880.92</v>
      </c>
      <c r="AM16" s="77">
        <v>4880.92</v>
      </c>
      <c r="AN16" s="77">
        <v>4880.92</v>
      </c>
      <c r="AO16" s="24">
        <v>5110.93</v>
      </c>
      <c r="AP16" s="24">
        <v>5275.01</v>
      </c>
      <c r="AQ16" s="24">
        <v>5400.08</v>
      </c>
      <c r="AR16" s="24">
        <v>5581.93</v>
      </c>
      <c r="AS16" s="24">
        <v>5731.93</v>
      </c>
      <c r="AT16" s="24">
        <v>5784.35</v>
      </c>
    </row>
    <row r="17" spans="1:46" ht="17" thickBot="1">
      <c r="A17" s="27">
        <v>9</v>
      </c>
      <c r="B17" s="79" t="s">
        <v>62</v>
      </c>
      <c r="C17" s="32">
        <f t="shared" si="0"/>
        <v>2152.36</v>
      </c>
      <c r="D17" s="32">
        <f t="shared" si="1"/>
        <v>2130</v>
      </c>
      <c r="E17" s="111">
        <v>529.91000000000042</v>
      </c>
      <c r="F17" s="129"/>
      <c r="G17" s="72">
        <v>22</v>
      </c>
      <c r="H17" s="29">
        <v>1042.04</v>
      </c>
      <c r="I17" s="43">
        <v>1096.97</v>
      </c>
      <c r="J17" s="43">
        <v>1141.71</v>
      </c>
      <c r="K17" s="43">
        <v>1174.95</v>
      </c>
      <c r="L17" s="43">
        <v>1206.7</v>
      </c>
      <c r="M17" s="43">
        <v>1235.5</v>
      </c>
      <c r="N17" s="43">
        <v>1261.6199999999999</v>
      </c>
      <c r="O17" s="43">
        <v>1287.2</v>
      </c>
      <c r="P17" s="43">
        <v>1316.13</v>
      </c>
      <c r="Q17" s="43">
        <v>1342.23</v>
      </c>
      <c r="R17" s="43">
        <v>1378.55</v>
      </c>
      <c r="S17" s="77">
        <v>1378.55</v>
      </c>
      <c r="T17" s="77">
        <v>1378.55</v>
      </c>
      <c r="U17" s="43">
        <v>1421.2</v>
      </c>
      <c r="V17" s="43">
        <v>1468.29</v>
      </c>
      <c r="W17" s="43">
        <v>1515.71</v>
      </c>
      <c r="X17" s="43">
        <v>1555.28</v>
      </c>
      <c r="Y17" s="43">
        <v>1588.13</v>
      </c>
      <c r="Z17" s="106">
        <v>1619.36</v>
      </c>
      <c r="AA17" s="106">
        <v>1645.08</v>
      </c>
      <c r="AB17" s="106">
        <v>1668.92</v>
      </c>
      <c r="AC17" s="43">
        <v>1692.08</v>
      </c>
      <c r="AD17" s="43">
        <v>1718.63</v>
      </c>
      <c r="AE17" s="43">
        <v>1750.55</v>
      </c>
      <c r="AF17" s="43">
        <v>1786.45</v>
      </c>
      <c r="AG17" s="43">
        <v>1828.61</v>
      </c>
      <c r="AH17" s="43">
        <v>1877.96</v>
      </c>
      <c r="AI17" s="43">
        <v>1924.07</v>
      </c>
      <c r="AJ17" s="43">
        <v>1966.52</v>
      </c>
      <c r="AK17" s="24">
        <v>1996.68</v>
      </c>
      <c r="AL17" s="24">
        <v>2026.74</v>
      </c>
      <c r="AM17" s="77">
        <v>2026.74</v>
      </c>
      <c r="AN17" s="77">
        <v>2026.74</v>
      </c>
      <c r="AO17" s="24">
        <v>2052.4</v>
      </c>
      <c r="AP17" s="24">
        <v>2075.08</v>
      </c>
      <c r="AQ17" s="24">
        <v>2096.9299999999998</v>
      </c>
      <c r="AR17" s="24">
        <v>2122.77</v>
      </c>
      <c r="AS17" s="24">
        <v>2130</v>
      </c>
      <c r="AT17" s="24">
        <v>2152.36</v>
      </c>
    </row>
    <row r="18" spans="1:46" ht="17" thickBot="1">
      <c r="A18" s="27">
        <v>9</v>
      </c>
      <c r="B18" s="82" t="s">
        <v>62</v>
      </c>
      <c r="C18" s="32">
        <f t="shared" si="0"/>
        <v>2710.89</v>
      </c>
      <c r="D18" s="32">
        <f t="shared" si="1"/>
        <v>2698.33</v>
      </c>
      <c r="E18" s="78"/>
      <c r="F18" s="86"/>
      <c r="G18" s="72">
        <v>22</v>
      </c>
      <c r="H18" s="29">
        <v>1287.49</v>
      </c>
      <c r="I18" s="43">
        <v>1344.12</v>
      </c>
      <c r="J18" s="43">
        <v>1397.79</v>
      </c>
      <c r="K18" s="43">
        <v>1445.27</v>
      </c>
      <c r="L18" s="43">
        <v>1491.56</v>
      </c>
      <c r="M18" s="43">
        <v>1534.34</v>
      </c>
      <c r="N18" s="43">
        <v>1575.48</v>
      </c>
      <c r="O18" s="43">
        <v>1616.72</v>
      </c>
      <c r="P18" s="43">
        <v>1657.92</v>
      </c>
      <c r="Q18" s="43">
        <v>1692.21</v>
      </c>
      <c r="R18" s="43">
        <v>1737.85</v>
      </c>
      <c r="S18" s="77">
        <v>1737.85</v>
      </c>
      <c r="T18" s="77">
        <v>1737.85</v>
      </c>
      <c r="U18" s="43">
        <v>1785.51</v>
      </c>
      <c r="V18" s="43">
        <v>1832.77</v>
      </c>
      <c r="W18" s="43">
        <v>1881.48</v>
      </c>
      <c r="X18" s="43">
        <v>1928.49</v>
      </c>
      <c r="Y18" s="43">
        <v>1974.55</v>
      </c>
      <c r="Z18" s="106">
        <v>2019.18</v>
      </c>
      <c r="AA18" s="106">
        <v>2056.89</v>
      </c>
      <c r="AB18" s="106">
        <v>2093.67</v>
      </c>
      <c r="AC18" s="43">
        <v>2129.6999999999998</v>
      </c>
      <c r="AD18" s="43">
        <v>2169.9699999999998</v>
      </c>
      <c r="AE18" s="43">
        <v>2213.73</v>
      </c>
      <c r="AF18" s="43">
        <v>2259.5100000000002</v>
      </c>
      <c r="AG18" s="43">
        <v>2306.7199999999998</v>
      </c>
      <c r="AH18" s="43">
        <v>2355.83</v>
      </c>
      <c r="AI18" s="43">
        <v>2403.48</v>
      </c>
      <c r="AJ18" s="43">
        <v>2453.9699999999998</v>
      </c>
      <c r="AK18" s="24">
        <v>2495.77</v>
      </c>
      <c r="AL18" s="24">
        <v>2537.98</v>
      </c>
      <c r="AM18" s="77">
        <v>2537.98</v>
      </c>
      <c r="AN18" s="77">
        <v>2537.98</v>
      </c>
      <c r="AO18" s="24">
        <v>2574.29</v>
      </c>
      <c r="AP18" s="24">
        <v>2607.41</v>
      </c>
      <c r="AQ18" s="24">
        <v>2639.56</v>
      </c>
      <c r="AR18" s="24">
        <v>2676.55</v>
      </c>
      <c r="AS18" s="24">
        <v>2698.33</v>
      </c>
      <c r="AT18" s="24">
        <v>2710.89</v>
      </c>
    </row>
    <row r="19" spans="1:46" ht="17" thickBot="1">
      <c r="A19" s="27">
        <v>10</v>
      </c>
      <c r="B19" s="79" t="s">
        <v>63</v>
      </c>
      <c r="C19" s="32">
        <f t="shared" si="0"/>
        <v>5042.34</v>
      </c>
      <c r="D19" s="32">
        <f t="shared" si="1"/>
        <v>4913.53</v>
      </c>
      <c r="E19" s="111">
        <v>1205.5</v>
      </c>
      <c r="F19" s="129"/>
      <c r="G19" s="72">
        <v>8</v>
      </c>
      <c r="H19" s="29">
        <v>2073.3200000000002</v>
      </c>
      <c r="I19" s="43">
        <v>2133.4899999999998</v>
      </c>
      <c r="J19" s="43">
        <v>2166.23</v>
      </c>
      <c r="K19" s="43">
        <v>2188.9899999999998</v>
      </c>
      <c r="L19" s="43">
        <v>2224.41</v>
      </c>
      <c r="M19" s="43">
        <v>2260.89</v>
      </c>
      <c r="N19" s="43">
        <v>2312.2600000000002</v>
      </c>
      <c r="O19" s="43">
        <v>2366.91</v>
      </c>
      <c r="P19" s="43">
        <v>2425.36</v>
      </c>
      <c r="Q19" s="43">
        <v>2466.91</v>
      </c>
      <c r="R19" s="43">
        <v>2525.2600000000002</v>
      </c>
      <c r="S19" s="77">
        <v>2525.2600000000002</v>
      </c>
      <c r="T19" s="77">
        <v>2525.2600000000002</v>
      </c>
      <c r="U19" s="43">
        <v>2585.3000000000002</v>
      </c>
      <c r="V19" s="43">
        <v>2683.55</v>
      </c>
      <c r="W19" s="43">
        <v>2828.29</v>
      </c>
      <c r="X19" s="43">
        <v>2935.9</v>
      </c>
      <c r="Y19" s="43">
        <v>3051.29</v>
      </c>
      <c r="Z19" s="106">
        <v>3138.82</v>
      </c>
      <c r="AA19" s="106">
        <v>3180.51</v>
      </c>
      <c r="AB19" s="106">
        <v>3227.3</v>
      </c>
      <c r="AC19" s="106">
        <v>3278.61</v>
      </c>
      <c r="AD19" s="106">
        <v>3329.61</v>
      </c>
      <c r="AE19" s="106">
        <v>3381.89</v>
      </c>
      <c r="AF19" s="106">
        <v>3443.8</v>
      </c>
      <c r="AG19" s="106">
        <v>3576.41</v>
      </c>
      <c r="AH19" s="106">
        <v>3717.41</v>
      </c>
      <c r="AI19" s="106">
        <v>3826.14</v>
      </c>
      <c r="AJ19" s="106">
        <v>3938.1</v>
      </c>
      <c r="AK19" s="24">
        <v>4042.58</v>
      </c>
      <c r="AL19" s="24">
        <v>4149.67</v>
      </c>
      <c r="AM19" s="77">
        <v>4149.67</v>
      </c>
      <c r="AN19" s="77">
        <v>4149.67</v>
      </c>
      <c r="AO19" s="24">
        <v>4277.1899999999996</v>
      </c>
      <c r="AP19" s="24">
        <v>4400.51</v>
      </c>
      <c r="AQ19" s="24">
        <v>4545.66</v>
      </c>
      <c r="AR19" s="24">
        <v>4731.05</v>
      </c>
      <c r="AS19" s="24">
        <v>4913.53</v>
      </c>
      <c r="AT19" s="24">
        <v>5042.34</v>
      </c>
    </row>
    <row r="20" spans="1:46" ht="17" thickBot="1">
      <c r="A20" s="27">
        <v>10</v>
      </c>
      <c r="B20" s="82" t="s">
        <v>63</v>
      </c>
      <c r="C20" s="32">
        <f t="shared" si="0"/>
        <v>2208.4499999999998</v>
      </c>
      <c r="D20" s="32">
        <f t="shared" si="1"/>
        <v>2138.88</v>
      </c>
      <c r="E20" s="78"/>
      <c r="F20" s="86"/>
      <c r="G20" s="72">
        <v>8</v>
      </c>
      <c r="H20" s="29">
        <v>849.33</v>
      </c>
      <c r="I20" s="43">
        <v>869.44</v>
      </c>
      <c r="J20" s="43">
        <v>888.15</v>
      </c>
      <c r="K20" s="43">
        <v>905.25</v>
      </c>
      <c r="L20" s="43">
        <v>923.26</v>
      </c>
      <c r="M20" s="43">
        <v>945.65</v>
      </c>
      <c r="N20" s="43">
        <v>968.92</v>
      </c>
      <c r="O20" s="43">
        <v>987.67</v>
      </c>
      <c r="P20" s="43">
        <v>1007.37</v>
      </c>
      <c r="Q20" s="43">
        <v>1032.23</v>
      </c>
      <c r="R20" s="43">
        <v>1057.8</v>
      </c>
      <c r="S20" s="77">
        <v>1057.8</v>
      </c>
      <c r="T20" s="77">
        <v>1057.8</v>
      </c>
      <c r="U20" s="43">
        <v>1084.72</v>
      </c>
      <c r="V20" s="43">
        <v>1135.8</v>
      </c>
      <c r="W20" s="43">
        <v>1211.21</v>
      </c>
      <c r="X20" s="43">
        <v>1262.1500000000001</v>
      </c>
      <c r="Y20" s="43">
        <v>1313.14</v>
      </c>
      <c r="Z20" s="106">
        <v>1351.53</v>
      </c>
      <c r="AA20" s="106">
        <v>1374.24</v>
      </c>
      <c r="AB20" s="106">
        <v>1395.94</v>
      </c>
      <c r="AC20" s="106">
        <v>1418.29</v>
      </c>
      <c r="AD20" s="106">
        <v>1440.61</v>
      </c>
      <c r="AE20" s="106">
        <v>1465.75</v>
      </c>
      <c r="AF20" s="106">
        <v>1496.37</v>
      </c>
      <c r="AG20" s="106">
        <v>1553</v>
      </c>
      <c r="AH20" s="106">
        <v>1612.17</v>
      </c>
      <c r="AI20" s="106">
        <v>1671.52</v>
      </c>
      <c r="AJ20" s="106">
        <v>1735.27</v>
      </c>
      <c r="AK20" s="24">
        <v>1789.38</v>
      </c>
      <c r="AL20" s="24">
        <v>1845.49</v>
      </c>
      <c r="AM20" s="77">
        <v>1845.49</v>
      </c>
      <c r="AN20" s="77">
        <v>1845.49</v>
      </c>
      <c r="AO20" s="24">
        <v>1902.12</v>
      </c>
      <c r="AP20" s="24">
        <v>1950.82</v>
      </c>
      <c r="AQ20" s="24">
        <v>2003.56</v>
      </c>
      <c r="AR20" s="24">
        <v>2072.09</v>
      </c>
      <c r="AS20" s="24">
        <v>2138.88</v>
      </c>
      <c r="AT20" s="24">
        <v>2208.4499999999998</v>
      </c>
    </row>
    <row r="21" spans="1:46" ht="17" thickBot="1">
      <c r="A21" s="27">
        <v>11</v>
      </c>
      <c r="B21" s="79" t="s">
        <v>64</v>
      </c>
      <c r="C21" s="32">
        <f t="shared" si="0"/>
        <v>24123.17</v>
      </c>
      <c r="D21" s="32">
        <f t="shared" si="1"/>
        <v>23923.71</v>
      </c>
      <c r="E21" s="110">
        <v>-53.740000000000009</v>
      </c>
      <c r="F21" s="137">
        <v>1310</v>
      </c>
      <c r="G21" s="72">
        <v>36</v>
      </c>
      <c r="H21" s="29">
        <v>14637.01</v>
      </c>
      <c r="I21" s="43">
        <v>14918.96</v>
      </c>
      <c r="J21" s="43">
        <v>15179.77</v>
      </c>
      <c r="K21" s="43">
        <v>15434.64</v>
      </c>
      <c r="L21" s="43">
        <v>15697.91</v>
      </c>
      <c r="M21" s="43">
        <v>15940.4</v>
      </c>
      <c r="N21" s="43">
        <v>16193.45</v>
      </c>
      <c r="O21" s="43">
        <v>16452.05</v>
      </c>
      <c r="P21" s="43">
        <v>16748.740000000002</v>
      </c>
      <c r="Q21" s="43">
        <v>17059.55</v>
      </c>
      <c r="R21" s="43">
        <v>17314.97</v>
      </c>
      <c r="S21" s="77">
        <v>17314.97</v>
      </c>
      <c r="T21" s="77">
        <v>17314.97</v>
      </c>
      <c r="U21" s="43">
        <v>17593.740000000002</v>
      </c>
      <c r="V21" s="43">
        <v>17872.32</v>
      </c>
      <c r="W21" s="43">
        <v>18184.849999999999</v>
      </c>
      <c r="X21" s="43">
        <v>18480.169999999998</v>
      </c>
      <c r="Y21" s="43">
        <v>18779.41</v>
      </c>
      <c r="Z21" s="106">
        <v>19041.14</v>
      </c>
      <c r="AA21" s="106">
        <v>19278.080000000002</v>
      </c>
      <c r="AB21" s="106">
        <v>19546.11</v>
      </c>
      <c r="AC21" s="106">
        <v>19917.939999999999</v>
      </c>
      <c r="AD21" s="106">
        <v>20236.46</v>
      </c>
      <c r="AE21" s="106">
        <v>20538.04</v>
      </c>
      <c r="AF21" s="106">
        <v>20795.599999999999</v>
      </c>
      <c r="AG21" s="106">
        <v>21073.94</v>
      </c>
      <c r="AH21" s="106">
        <v>21369.53</v>
      </c>
      <c r="AI21" s="106">
        <v>21665.46</v>
      </c>
      <c r="AJ21" s="106">
        <v>21989.79</v>
      </c>
      <c r="AK21" s="24">
        <v>22278.94</v>
      </c>
      <c r="AL21" s="24">
        <v>22578.02</v>
      </c>
      <c r="AM21" s="77">
        <v>22578.02</v>
      </c>
      <c r="AN21" s="77">
        <v>22578.02</v>
      </c>
      <c r="AO21" s="24">
        <v>22844.74</v>
      </c>
      <c r="AP21" s="24">
        <v>23121.11</v>
      </c>
      <c r="AQ21" s="24">
        <v>23442.09</v>
      </c>
      <c r="AR21" s="24">
        <v>23733.360000000001</v>
      </c>
      <c r="AS21" s="24">
        <v>23923.71</v>
      </c>
      <c r="AT21" s="24">
        <v>24123.17</v>
      </c>
    </row>
    <row r="22" spans="1:46" ht="17" thickBot="1">
      <c r="A22" s="27">
        <v>11</v>
      </c>
      <c r="B22" s="82" t="s">
        <v>64</v>
      </c>
      <c r="C22" s="32">
        <f t="shared" si="0"/>
        <v>8324.1299999999992</v>
      </c>
      <c r="D22" s="32">
        <f t="shared" si="1"/>
        <v>8257.0499999999993</v>
      </c>
      <c r="E22" s="78"/>
      <c r="F22" s="86"/>
      <c r="G22" s="72">
        <v>36</v>
      </c>
      <c r="H22" s="29">
        <v>5503.28</v>
      </c>
      <c r="I22" s="80">
        <v>5590.3</v>
      </c>
      <c r="J22" s="43">
        <v>5669.81</v>
      </c>
      <c r="K22" s="43">
        <v>5736.64</v>
      </c>
      <c r="L22" s="43">
        <v>5815.22</v>
      </c>
      <c r="M22" s="43">
        <v>5887.69</v>
      </c>
      <c r="N22" s="43">
        <v>5957.97</v>
      </c>
      <c r="O22" s="43">
        <v>6039.97</v>
      </c>
      <c r="P22" s="43">
        <v>6128.45</v>
      </c>
      <c r="Q22" s="43">
        <v>6210.48</v>
      </c>
      <c r="R22" s="43">
        <v>6279.95</v>
      </c>
      <c r="S22" s="77">
        <v>6279.95</v>
      </c>
      <c r="T22" s="77">
        <v>6279.95</v>
      </c>
      <c r="U22" s="43">
        <v>6354.42</v>
      </c>
      <c r="V22" s="43">
        <v>6436.03</v>
      </c>
      <c r="W22" s="43">
        <v>6521.22</v>
      </c>
      <c r="X22" s="43">
        <v>6603.65</v>
      </c>
      <c r="Y22" s="43">
        <v>6683.32</v>
      </c>
      <c r="Z22" s="106">
        <v>6760.09</v>
      </c>
      <c r="AA22" s="106">
        <v>6835.37</v>
      </c>
      <c r="AB22" s="106">
        <v>6929.59</v>
      </c>
      <c r="AC22" s="106">
        <v>7042.62</v>
      </c>
      <c r="AD22" s="106">
        <v>7142.11</v>
      </c>
      <c r="AE22" s="106">
        <v>7224.56</v>
      </c>
      <c r="AF22" s="106">
        <v>7289.25</v>
      </c>
      <c r="AG22" s="106">
        <v>7377.44</v>
      </c>
      <c r="AH22" s="106">
        <v>7476.05</v>
      </c>
      <c r="AI22" s="106">
        <v>7565.61</v>
      </c>
      <c r="AJ22" s="106">
        <v>7656.63</v>
      </c>
      <c r="AK22" s="24">
        <v>7733.72</v>
      </c>
      <c r="AL22" s="24">
        <v>7811.4</v>
      </c>
      <c r="AM22" s="77">
        <v>7811.4</v>
      </c>
      <c r="AN22" s="77">
        <v>7811.4</v>
      </c>
      <c r="AO22" s="24">
        <v>7883.58</v>
      </c>
      <c r="AP22" s="24">
        <v>7965.77</v>
      </c>
      <c r="AQ22" s="24">
        <v>8066.26</v>
      </c>
      <c r="AR22" s="24">
        <v>8187.87</v>
      </c>
      <c r="AS22" s="24">
        <v>8257.0499999999993</v>
      </c>
      <c r="AT22" s="24">
        <v>8324.1299999999992</v>
      </c>
    </row>
    <row r="23" spans="1:46" ht="17" thickBot="1">
      <c r="A23" s="27">
        <v>12</v>
      </c>
      <c r="B23" s="84" t="s">
        <v>65</v>
      </c>
      <c r="C23" s="32">
        <f t="shared" si="0"/>
        <v>15245.87</v>
      </c>
      <c r="D23" s="32">
        <f t="shared" si="1"/>
        <v>14438.65</v>
      </c>
      <c r="E23" s="110"/>
      <c r="F23" s="108"/>
      <c r="G23" s="72">
        <v>18</v>
      </c>
      <c r="H23" s="29">
        <v>23410.77</v>
      </c>
      <c r="I23" s="43">
        <v>24185.52</v>
      </c>
      <c r="J23" s="43">
        <v>25286.35</v>
      </c>
      <c r="K23" s="43">
        <v>26185.61</v>
      </c>
      <c r="L23" s="43">
        <v>27061.95</v>
      </c>
      <c r="M23" s="43">
        <v>27760.37</v>
      </c>
      <c r="N23" s="43">
        <v>28223.35</v>
      </c>
      <c r="O23" s="43">
        <v>28664.03</v>
      </c>
      <c r="P23" s="43">
        <v>29517.07</v>
      </c>
      <c r="Q23" s="43">
        <v>30227.96</v>
      </c>
      <c r="R23" s="43">
        <v>30817.4</v>
      </c>
      <c r="S23" s="77">
        <v>31535.19</v>
      </c>
      <c r="T23" s="77">
        <v>31535.19</v>
      </c>
      <c r="U23" s="43">
        <v>31201.329999999998</v>
      </c>
      <c r="V23" s="43">
        <v>31919.119999999999</v>
      </c>
      <c r="W23" s="43">
        <v>32727.57</v>
      </c>
      <c r="X23" s="43">
        <v>33516.07</v>
      </c>
      <c r="Y23" s="43">
        <v>34293.26</v>
      </c>
      <c r="Z23" s="106">
        <v>35072.910000000003</v>
      </c>
      <c r="AA23" s="120" t="s">
        <v>99</v>
      </c>
      <c r="AB23" s="106">
        <v>846.1</v>
      </c>
      <c r="AC23" s="106">
        <v>1745.39</v>
      </c>
      <c r="AD23" s="106">
        <v>2828.17</v>
      </c>
      <c r="AE23" s="106">
        <v>3851.17</v>
      </c>
      <c r="AF23" s="106">
        <v>4570.88</v>
      </c>
      <c r="AG23" s="106">
        <v>5358.71</v>
      </c>
      <c r="AH23" s="106">
        <v>6222.1</v>
      </c>
      <c r="AI23" s="106">
        <v>7098.75</v>
      </c>
      <c r="AJ23" s="106">
        <v>8036.85</v>
      </c>
      <c r="AK23" s="24">
        <v>8901.69</v>
      </c>
      <c r="AL23" s="24">
        <v>9803.86</v>
      </c>
      <c r="AM23" s="77">
        <v>9803.86</v>
      </c>
      <c r="AN23" s="77">
        <v>9803.86</v>
      </c>
      <c r="AO23" s="24">
        <v>10564.33</v>
      </c>
      <c r="AP23" s="24">
        <v>11360.53</v>
      </c>
      <c r="AQ23" s="24">
        <v>12411</v>
      </c>
      <c r="AR23" s="24">
        <v>13574.52</v>
      </c>
      <c r="AS23" s="24">
        <v>14438.65</v>
      </c>
      <c r="AT23" s="24">
        <v>15245.87</v>
      </c>
    </row>
    <row r="24" spans="1:46" ht="17" thickBot="1">
      <c r="A24" s="27">
        <v>12</v>
      </c>
      <c r="B24" s="83" t="s">
        <v>65</v>
      </c>
      <c r="C24" s="32">
        <f t="shared" si="0"/>
        <v>4359.82</v>
      </c>
      <c r="D24" s="32">
        <f t="shared" si="1"/>
        <v>4132.3</v>
      </c>
      <c r="E24" s="78"/>
      <c r="F24" s="86"/>
      <c r="G24" s="72">
        <v>18</v>
      </c>
      <c r="H24" s="29">
        <v>8826.7999999999993</v>
      </c>
      <c r="I24" s="43">
        <v>9184.42</v>
      </c>
      <c r="J24" s="43">
        <v>9665.7000000000007</v>
      </c>
      <c r="K24" s="43">
        <v>10046.41</v>
      </c>
      <c r="L24" s="43">
        <v>10393.76</v>
      </c>
      <c r="M24" s="43">
        <v>10670.27</v>
      </c>
      <c r="N24" s="43">
        <v>10855.07</v>
      </c>
      <c r="O24" s="43">
        <v>11064.03</v>
      </c>
      <c r="P24" s="43">
        <v>11405.17</v>
      </c>
      <c r="Q24" s="43">
        <v>11664.25</v>
      </c>
      <c r="R24" s="43">
        <v>11901.42</v>
      </c>
      <c r="S24" s="77">
        <v>12180.54</v>
      </c>
      <c r="T24" s="77">
        <v>12180.54</v>
      </c>
      <c r="U24" s="43">
        <v>12043.509999999998</v>
      </c>
      <c r="V24" s="43">
        <v>12322.63</v>
      </c>
      <c r="W24" s="43">
        <v>12627.76</v>
      </c>
      <c r="X24" s="43">
        <v>12941.29</v>
      </c>
      <c r="Y24" s="43">
        <v>13220.95</v>
      </c>
      <c r="Z24" s="106">
        <v>13466.79</v>
      </c>
      <c r="AA24" s="120" t="s">
        <v>100</v>
      </c>
      <c r="AB24" s="106">
        <v>283.81</v>
      </c>
      <c r="AC24" s="106">
        <v>540.75</v>
      </c>
      <c r="AD24" s="106">
        <v>911.38</v>
      </c>
      <c r="AE24" s="106">
        <v>1219.76</v>
      </c>
      <c r="AF24" s="106">
        <v>1438.1</v>
      </c>
      <c r="AG24" s="106">
        <v>1642.42</v>
      </c>
      <c r="AH24" s="106">
        <v>1854.95</v>
      </c>
      <c r="AI24" s="106">
        <v>2089.08</v>
      </c>
      <c r="AJ24" s="106">
        <v>2347.5700000000002</v>
      </c>
      <c r="AK24" s="24">
        <v>2577.27</v>
      </c>
      <c r="AL24" s="24">
        <v>2823.07</v>
      </c>
      <c r="AM24" s="77">
        <v>2823.07</v>
      </c>
      <c r="AN24" s="77">
        <v>2823.07</v>
      </c>
      <c r="AO24" s="24">
        <v>3032.31</v>
      </c>
      <c r="AP24" s="24">
        <v>3242.76</v>
      </c>
      <c r="AQ24" s="24">
        <v>3521</v>
      </c>
      <c r="AR24" s="24">
        <v>3885.21</v>
      </c>
      <c r="AS24" s="24">
        <v>4132.3</v>
      </c>
      <c r="AT24" s="24">
        <v>4359.82</v>
      </c>
    </row>
    <row r="25" spans="1:46" ht="17" thickBot="1">
      <c r="A25" s="27">
        <v>13</v>
      </c>
      <c r="B25" s="79" t="s">
        <v>66</v>
      </c>
      <c r="C25" s="32">
        <f t="shared" si="0"/>
        <v>16096.2</v>
      </c>
      <c r="D25" s="32">
        <f t="shared" si="1"/>
        <v>15843.36</v>
      </c>
      <c r="E25" s="111">
        <v>2920.6900000000005</v>
      </c>
      <c r="F25" s="137">
        <v>3000</v>
      </c>
      <c r="G25" s="72">
        <v>2</v>
      </c>
      <c r="H25" s="29">
        <v>7518.51</v>
      </c>
      <c r="I25" s="43">
        <v>7746.42</v>
      </c>
      <c r="J25" s="43">
        <v>7958.3</v>
      </c>
      <c r="K25" s="43">
        <v>8143.95</v>
      </c>
      <c r="L25" s="43">
        <v>8329.56</v>
      </c>
      <c r="M25" s="43">
        <v>8499.9699999999993</v>
      </c>
      <c r="N25" s="43">
        <v>8674.74</v>
      </c>
      <c r="O25" s="43">
        <v>8993.51</v>
      </c>
      <c r="P25" s="43">
        <v>9265.17</v>
      </c>
      <c r="Q25" s="43">
        <v>9623.61</v>
      </c>
      <c r="R25" s="43">
        <v>9819</v>
      </c>
      <c r="S25" s="77">
        <v>9819</v>
      </c>
      <c r="T25" s="77">
        <v>9819</v>
      </c>
      <c r="U25" s="43">
        <v>10067.39</v>
      </c>
      <c r="V25" s="43">
        <v>10301.4</v>
      </c>
      <c r="W25" s="43">
        <v>10519.2</v>
      </c>
      <c r="X25" s="43">
        <v>10705.24</v>
      </c>
      <c r="Y25" s="43">
        <v>10887.32</v>
      </c>
      <c r="Z25" s="106">
        <v>11045.58</v>
      </c>
      <c r="AA25" s="106">
        <v>11181.27</v>
      </c>
      <c r="AB25" s="106">
        <v>11365.84</v>
      </c>
      <c r="AC25" s="106">
        <v>11797.71</v>
      </c>
      <c r="AD25" s="106">
        <v>12260.41</v>
      </c>
      <c r="AE25" s="106">
        <v>12571.62</v>
      </c>
      <c r="AF25" s="106">
        <v>12898.48</v>
      </c>
      <c r="AG25" s="106">
        <v>13152.04</v>
      </c>
      <c r="AH25" s="106">
        <v>13376.67</v>
      </c>
      <c r="AI25" s="106">
        <v>13555.4</v>
      </c>
      <c r="AJ25" s="106">
        <v>13753.39</v>
      </c>
      <c r="AK25" s="24">
        <v>13933.45</v>
      </c>
      <c r="AL25" s="24">
        <v>14123.75</v>
      </c>
      <c r="AM25" s="77">
        <v>14123.75</v>
      </c>
      <c r="AN25" s="77">
        <v>14123.75</v>
      </c>
      <c r="AO25" s="24">
        <v>14264.82</v>
      </c>
      <c r="AP25" s="24">
        <v>14443.11</v>
      </c>
      <c r="AQ25" s="24">
        <v>14942.46</v>
      </c>
      <c r="AR25" s="24">
        <v>15433.86</v>
      </c>
      <c r="AS25" s="24">
        <v>15843.36</v>
      </c>
      <c r="AT25" s="24">
        <v>16096.2</v>
      </c>
    </row>
    <row r="26" spans="1:46" ht="17" thickBot="1">
      <c r="A26" s="27">
        <v>13</v>
      </c>
      <c r="B26" s="82" t="s">
        <v>66</v>
      </c>
      <c r="C26" s="32">
        <f t="shared" si="0"/>
        <v>6602.25</v>
      </c>
      <c r="D26" s="32">
        <f t="shared" si="1"/>
        <v>6481.59</v>
      </c>
      <c r="E26" s="78"/>
      <c r="F26" s="86"/>
      <c r="G26" s="72">
        <v>2</v>
      </c>
      <c r="H26" s="29">
        <v>2990.3</v>
      </c>
      <c r="I26" s="43">
        <v>3080.48</v>
      </c>
      <c r="J26" s="43">
        <v>3182.35</v>
      </c>
      <c r="K26" s="43">
        <v>3266.39</v>
      </c>
      <c r="L26" s="43">
        <v>3350.21</v>
      </c>
      <c r="M26" s="43">
        <v>3423.55</v>
      </c>
      <c r="N26" s="43">
        <v>3497.25</v>
      </c>
      <c r="O26" s="43">
        <v>3659.24</v>
      </c>
      <c r="P26" s="43">
        <v>3733.36</v>
      </c>
      <c r="Q26" s="43">
        <v>3883.01</v>
      </c>
      <c r="R26" s="43">
        <v>3970.05</v>
      </c>
      <c r="S26" s="77">
        <v>3970.05</v>
      </c>
      <c r="T26" s="77">
        <v>3970.05</v>
      </c>
      <c r="U26" s="43">
        <v>4066.37</v>
      </c>
      <c r="V26" s="43">
        <v>4154.8</v>
      </c>
      <c r="W26" s="43">
        <v>4236.8100000000004</v>
      </c>
      <c r="X26" s="43">
        <v>4316.7299999999996</v>
      </c>
      <c r="Y26" s="43">
        <v>4397.84</v>
      </c>
      <c r="Z26" s="106">
        <v>4466.3999999999996</v>
      </c>
      <c r="AA26" s="106">
        <v>4521.7</v>
      </c>
      <c r="AB26" s="106">
        <v>4590.32</v>
      </c>
      <c r="AC26" s="106">
        <v>4756.46</v>
      </c>
      <c r="AD26" s="106">
        <v>4956.7</v>
      </c>
      <c r="AE26" s="106">
        <v>5092.37</v>
      </c>
      <c r="AF26" s="106">
        <v>5239.45</v>
      </c>
      <c r="AG26" s="106">
        <v>5340.9</v>
      </c>
      <c r="AH26" s="106">
        <v>5419.58</v>
      </c>
      <c r="AI26" s="106">
        <v>5495.86</v>
      </c>
      <c r="AJ26" s="106">
        <v>5577.57</v>
      </c>
      <c r="AK26" s="24">
        <v>5647.99</v>
      </c>
      <c r="AL26" s="24">
        <v>5721.37</v>
      </c>
      <c r="AM26" s="77">
        <v>5721.37</v>
      </c>
      <c r="AN26" s="77">
        <v>5721.37</v>
      </c>
      <c r="AO26" s="24">
        <v>5778.89</v>
      </c>
      <c r="AP26" s="24">
        <v>5848.13</v>
      </c>
      <c r="AQ26" s="24">
        <v>6086.81</v>
      </c>
      <c r="AR26" s="24">
        <v>6287.74</v>
      </c>
      <c r="AS26" s="24">
        <v>6481.59</v>
      </c>
      <c r="AT26" s="24">
        <v>6602.25</v>
      </c>
    </row>
    <row r="27" spans="1:46" ht="17" thickBot="1">
      <c r="A27" s="27">
        <v>14</v>
      </c>
      <c r="B27" s="79" t="s">
        <v>67</v>
      </c>
      <c r="C27" s="32">
        <f t="shared" si="0"/>
        <v>10.31</v>
      </c>
      <c r="D27" s="32">
        <f t="shared" si="1"/>
        <v>8.35</v>
      </c>
      <c r="E27" s="110">
        <v>-63.18</v>
      </c>
      <c r="F27" s="137">
        <v>100</v>
      </c>
      <c r="G27" s="72">
        <v>9</v>
      </c>
      <c r="H27" s="29">
        <v>2.37</v>
      </c>
      <c r="I27" s="43">
        <v>2.37</v>
      </c>
      <c r="J27" s="43">
        <v>2.37</v>
      </c>
      <c r="K27" s="43">
        <v>2.67</v>
      </c>
      <c r="L27" s="43">
        <v>2.67</v>
      </c>
      <c r="M27" s="43">
        <v>2.69</v>
      </c>
      <c r="N27" s="43">
        <v>2.69</v>
      </c>
      <c r="O27" s="43">
        <v>3.18</v>
      </c>
      <c r="P27" s="43">
        <v>3.22</v>
      </c>
      <c r="Q27" s="43">
        <v>3.22</v>
      </c>
      <c r="R27" s="43">
        <v>3.22</v>
      </c>
      <c r="S27" s="77">
        <v>3.22</v>
      </c>
      <c r="T27" s="77">
        <v>3.22</v>
      </c>
      <c r="U27" s="43">
        <v>3.22</v>
      </c>
      <c r="V27" s="43">
        <v>3.22</v>
      </c>
      <c r="W27" s="43">
        <v>3.22</v>
      </c>
      <c r="X27" s="43">
        <v>3.22</v>
      </c>
      <c r="Y27" s="43">
        <v>3.64</v>
      </c>
      <c r="Z27" s="106">
        <v>3.75</v>
      </c>
      <c r="AA27" s="106">
        <v>3.92</v>
      </c>
      <c r="AB27" s="106">
        <v>3.94</v>
      </c>
      <c r="AC27" s="106">
        <v>3.94</v>
      </c>
      <c r="AD27" s="106">
        <v>3.95</v>
      </c>
      <c r="AE27" s="106">
        <v>4.1399999999999997</v>
      </c>
      <c r="AF27" s="106">
        <v>4.1399999999999997</v>
      </c>
      <c r="AG27" s="106">
        <v>4.1399999999999997</v>
      </c>
      <c r="AH27" s="106">
        <v>4.1500000000000004</v>
      </c>
      <c r="AI27" s="106">
        <v>4.1500000000000004</v>
      </c>
      <c r="AJ27" s="106">
        <v>4.1500000000000004</v>
      </c>
      <c r="AK27" s="106">
        <v>4.1500000000000004</v>
      </c>
      <c r="AL27" s="24">
        <v>6.3</v>
      </c>
      <c r="AM27" s="77">
        <v>6.3</v>
      </c>
      <c r="AN27" s="77">
        <v>6.3</v>
      </c>
      <c r="AO27" s="24">
        <v>6.3</v>
      </c>
      <c r="AP27" s="24">
        <v>6.83</v>
      </c>
      <c r="AQ27" s="24">
        <v>6.83</v>
      </c>
      <c r="AR27" s="24">
        <v>7.82</v>
      </c>
      <c r="AS27" s="24">
        <v>8.35</v>
      </c>
      <c r="AT27" s="24">
        <v>10.31</v>
      </c>
    </row>
    <row r="28" spans="1:46" ht="17" thickBot="1">
      <c r="A28" s="27">
        <v>14</v>
      </c>
      <c r="B28" s="82" t="s">
        <v>67</v>
      </c>
      <c r="C28" s="32">
        <f t="shared" si="0"/>
        <v>0</v>
      </c>
      <c r="D28" s="32">
        <f t="shared" si="1"/>
        <v>0</v>
      </c>
      <c r="E28" s="78"/>
      <c r="F28" s="86"/>
      <c r="G28" s="72">
        <v>9</v>
      </c>
      <c r="H28" s="29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77">
        <v>0</v>
      </c>
      <c r="T28" s="77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106">
        <v>0</v>
      </c>
      <c r="AA28" s="106">
        <v>0</v>
      </c>
      <c r="AB28" s="106">
        <v>0</v>
      </c>
      <c r="AC28" s="106">
        <v>0</v>
      </c>
      <c r="AD28" s="106">
        <v>0</v>
      </c>
      <c r="AE28" s="106">
        <v>0</v>
      </c>
      <c r="AF28" s="106">
        <v>0</v>
      </c>
      <c r="AG28" s="106">
        <v>0</v>
      </c>
      <c r="AH28" s="106">
        <v>0</v>
      </c>
      <c r="AI28" s="106">
        <v>0</v>
      </c>
      <c r="AJ28" s="106">
        <v>0</v>
      </c>
      <c r="AK28" s="106">
        <v>0</v>
      </c>
      <c r="AL28" s="24">
        <v>0</v>
      </c>
      <c r="AM28" s="77">
        <v>0</v>
      </c>
      <c r="AN28" s="77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</row>
    <row r="29" spans="1:46" ht="17" thickBot="1">
      <c r="A29" s="27">
        <v>15</v>
      </c>
      <c r="B29" s="79" t="s">
        <v>68</v>
      </c>
      <c r="C29" s="32">
        <f t="shared" si="0"/>
        <v>140791.9</v>
      </c>
      <c r="D29" s="32">
        <f t="shared" si="1"/>
        <v>139337.75</v>
      </c>
      <c r="E29" s="112">
        <v>16847.629999999997</v>
      </c>
      <c r="F29" s="137">
        <v>16850</v>
      </c>
      <c r="G29" s="72">
        <v>15</v>
      </c>
      <c r="H29" s="29">
        <v>82816.23</v>
      </c>
      <c r="I29" s="43">
        <v>84568.17</v>
      </c>
      <c r="J29" s="43">
        <v>86304.51</v>
      </c>
      <c r="K29" s="43">
        <v>87699.32</v>
      </c>
      <c r="L29" s="43">
        <v>89110.3</v>
      </c>
      <c r="M29" s="43">
        <v>90555.48</v>
      </c>
      <c r="N29" s="43">
        <v>92016.79</v>
      </c>
      <c r="O29" s="43">
        <v>93818.41</v>
      </c>
      <c r="P29" s="43">
        <v>96103.76</v>
      </c>
      <c r="Q29" s="43">
        <v>97994.44</v>
      </c>
      <c r="R29" s="43">
        <v>99336.12</v>
      </c>
      <c r="S29" s="77">
        <v>99336.12</v>
      </c>
      <c r="T29" s="77">
        <v>99336.12</v>
      </c>
      <c r="U29" s="43">
        <v>100656.74</v>
      </c>
      <c r="V29" s="43">
        <v>102349.24</v>
      </c>
      <c r="W29" s="43">
        <v>104511.41</v>
      </c>
      <c r="X29" s="43">
        <v>106170.25</v>
      </c>
      <c r="Y29" s="43">
        <v>107769.92</v>
      </c>
      <c r="Z29" s="43">
        <v>109111.59</v>
      </c>
      <c r="AA29" s="43">
        <v>110192.63</v>
      </c>
      <c r="AB29" s="43">
        <v>111891.27</v>
      </c>
      <c r="AC29" s="106">
        <v>114236.35</v>
      </c>
      <c r="AD29" s="106">
        <v>116416.57</v>
      </c>
      <c r="AE29" s="106">
        <v>118392.45</v>
      </c>
      <c r="AF29" s="106">
        <v>119656.96000000001</v>
      </c>
      <c r="AG29" s="106">
        <v>121298.68</v>
      </c>
      <c r="AH29" s="106">
        <v>123378.9</v>
      </c>
      <c r="AI29" s="106">
        <v>125105.81</v>
      </c>
      <c r="AJ29" s="106">
        <v>127270.5</v>
      </c>
      <c r="AK29" s="24">
        <v>128825.53</v>
      </c>
      <c r="AL29" s="24">
        <v>130282.72</v>
      </c>
      <c r="AM29" s="77">
        <v>130282.72</v>
      </c>
      <c r="AN29" s="77">
        <v>130282.72</v>
      </c>
      <c r="AO29" s="24">
        <v>131510.26</v>
      </c>
      <c r="AP29" s="24">
        <v>133034.35</v>
      </c>
      <c r="AQ29" s="24">
        <v>135250.69</v>
      </c>
      <c r="AR29" s="24">
        <v>137780.45000000001</v>
      </c>
      <c r="AS29" s="24">
        <v>139337.75</v>
      </c>
      <c r="AT29" s="24">
        <v>140791.9</v>
      </c>
    </row>
    <row r="30" spans="1:46" ht="17" thickBot="1">
      <c r="A30" s="27">
        <v>15</v>
      </c>
      <c r="B30" s="82" t="s">
        <v>68</v>
      </c>
      <c r="C30" s="32">
        <f t="shared" si="0"/>
        <v>52726.58</v>
      </c>
      <c r="D30" s="32">
        <f t="shared" si="1"/>
        <v>52145</v>
      </c>
      <c r="E30" s="78"/>
      <c r="F30" s="86"/>
      <c r="G30" s="72">
        <v>15</v>
      </c>
      <c r="H30" s="29">
        <v>30420.26</v>
      </c>
      <c r="I30" s="43">
        <v>30994.06</v>
      </c>
      <c r="J30" s="43">
        <v>31520.93</v>
      </c>
      <c r="K30" s="43">
        <v>31938.85</v>
      </c>
      <c r="L30" s="43">
        <v>32404.44</v>
      </c>
      <c r="M30" s="43">
        <v>32843.620000000003</v>
      </c>
      <c r="N30" s="43">
        <v>33296.42</v>
      </c>
      <c r="O30" s="43">
        <v>33956.089999999997</v>
      </c>
      <c r="P30" s="43">
        <v>34731.81</v>
      </c>
      <c r="Q30" s="43">
        <v>35422.370000000003</v>
      </c>
      <c r="R30" s="43">
        <v>35945.129999999997</v>
      </c>
      <c r="S30" s="77">
        <v>35945.129999999997</v>
      </c>
      <c r="T30" s="77">
        <v>35945.129999999997</v>
      </c>
      <c r="U30" s="43">
        <v>36445.29</v>
      </c>
      <c r="V30" s="43">
        <v>37110.370000000003</v>
      </c>
      <c r="W30" s="43">
        <v>37986.51</v>
      </c>
      <c r="X30" s="43">
        <v>38710.660000000003</v>
      </c>
      <c r="Y30" s="43">
        <v>39366.839999999997</v>
      </c>
      <c r="Z30" s="43">
        <v>39895.4</v>
      </c>
      <c r="AA30" s="43">
        <v>40294.480000000003</v>
      </c>
      <c r="AB30" s="43">
        <v>40994.199999999997</v>
      </c>
      <c r="AC30" s="106">
        <v>41937.39</v>
      </c>
      <c r="AD30" s="106">
        <v>42836.7</v>
      </c>
      <c r="AE30" s="106">
        <v>43587.29</v>
      </c>
      <c r="AF30" s="106">
        <v>44121.01</v>
      </c>
      <c r="AG30" s="106">
        <v>44786.76</v>
      </c>
      <c r="AH30" s="106">
        <v>45710.31</v>
      </c>
      <c r="AI30" s="106">
        <v>46463.51</v>
      </c>
      <c r="AJ30" s="106">
        <v>47394.84</v>
      </c>
      <c r="AK30" s="24">
        <v>48055.85</v>
      </c>
      <c r="AL30" s="24">
        <v>48653.14</v>
      </c>
      <c r="AM30" s="77">
        <v>48653.14</v>
      </c>
      <c r="AN30" s="77">
        <v>48653.14</v>
      </c>
      <c r="AO30" s="24">
        <v>49142.26</v>
      </c>
      <c r="AP30" s="24">
        <v>49696.26</v>
      </c>
      <c r="AQ30" s="24">
        <v>50517.51</v>
      </c>
      <c r="AR30" s="24">
        <v>51488.36</v>
      </c>
      <c r="AS30" s="24">
        <v>52145</v>
      </c>
      <c r="AT30" s="24">
        <v>52726.58</v>
      </c>
    </row>
    <row r="31" spans="1:46" ht="17" thickBot="1">
      <c r="A31" s="27">
        <v>16</v>
      </c>
      <c r="B31" s="84" t="s">
        <v>69</v>
      </c>
      <c r="C31" s="32">
        <f t="shared" si="0"/>
        <v>11353.14</v>
      </c>
      <c r="D31" s="32">
        <f t="shared" si="1"/>
        <v>11109.4</v>
      </c>
      <c r="E31" s="110">
        <v>4352.1000000000004</v>
      </c>
      <c r="F31" s="137">
        <v>916.75</v>
      </c>
      <c r="G31" s="73">
        <v>41</v>
      </c>
      <c r="H31" s="29">
        <v>3887.35</v>
      </c>
      <c r="I31" s="43">
        <v>4156.67</v>
      </c>
      <c r="J31" s="43">
        <v>4407.49</v>
      </c>
      <c r="K31" s="43">
        <v>4617.1000000000004</v>
      </c>
      <c r="L31" s="43">
        <v>4838.46</v>
      </c>
      <c r="M31" s="43">
        <v>5027.45</v>
      </c>
      <c r="N31" s="43">
        <v>5177.1000000000004</v>
      </c>
      <c r="O31" s="43">
        <v>5331.51</v>
      </c>
      <c r="P31" s="43">
        <v>5596.89</v>
      </c>
      <c r="Q31" s="43">
        <v>5799.76</v>
      </c>
      <c r="R31" s="43">
        <v>6014.14</v>
      </c>
      <c r="S31" s="77">
        <v>6014.14</v>
      </c>
      <c r="T31" s="77">
        <v>6014.14</v>
      </c>
      <c r="U31" s="43">
        <v>6260.01</v>
      </c>
      <c r="V31" s="43">
        <v>6542</v>
      </c>
      <c r="W31" s="43">
        <v>6802.19</v>
      </c>
      <c r="X31" s="43">
        <v>7040.35</v>
      </c>
      <c r="Y31" s="43">
        <v>7270.76</v>
      </c>
      <c r="Z31" s="106">
        <v>7500.86</v>
      </c>
      <c r="AA31" s="106">
        <v>7705.86</v>
      </c>
      <c r="AB31" s="106">
        <v>7847.58</v>
      </c>
      <c r="AC31" s="106">
        <v>8068.56</v>
      </c>
      <c r="AD31" s="106">
        <v>8280.9500000000007</v>
      </c>
      <c r="AE31" s="106">
        <v>8489.9</v>
      </c>
      <c r="AF31" s="106">
        <v>8690.82</v>
      </c>
      <c r="AG31" s="106">
        <v>8937.6</v>
      </c>
      <c r="AH31" s="106">
        <v>9206.25</v>
      </c>
      <c r="AI31" s="106">
        <v>9457.34</v>
      </c>
      <c r="AJ31" s="106">
        <v>9720.32</v>
      </c>
      <c r="AK31" s="24">
        <v>9947.34</v>
      </c>
      <c r="AL31" s="24">
        <v>10194.370000000001</v>
      </c>
      <c r="AM31" s="77">
        <v>10194.370000000001</v>
      </c>
      <c r="AN31" s="77">
        <v>10194.370000000001</v>
      </c>
      <c r="AO31" s="24">
        <v>10405.08</v>
      </c>
      <c r="AP31" s="24">
        <v>10586.01</v>
      </c>
      <c r="AQ31" s="24">
        <v>10762.85</v>
      </c>
      <c r="AR31" s="24">
        <v>10940.08</v>
      </c>
      <c r="AS31" s="24">
        <v>11109.4</v>
      </c>
      <c r="AT31" s="24">
        <v>11353.14</v>
      </c>
    </row>
    <row r="32" spans="1:46" ht="17" thickBot="1">
      <c r="A32" s="27">
        <v>16</v>
      </c>
      <c r="B32" s="115" t="s">
        <v>69</v>
      </c>
      <c r="C32" s="32">
        <f t="shared" si="0"/>
        <v>3589.45</v>
      </c>
      <c r="D32" s="32">
        <f t="shared" si="1"/>
        <v>3513.27</v>
      </c>
      <c r="E32" s="78"/>
      <c r="F32" s="86"/>
      <c r="G32" s="73">
        <v>41</v>
      </c>
      <c r="H32" s="29">
        <v>1265.47</v>
      </c>
      <c r="I32" s="43">
        <v>1351.15</v>
      </c>
      <c r="J32" s="43">
        <v>1436.65</v>
      </c>
      <c r="K32" s="43">
        <v>1509.45</v>
      </c>
      <c r="L32" s="43">
        <v>1578.73</v>
      </c>
      <c r="M32" s="43">
        <v>1636.96</v>
      </c>
      <c r="N32" s="43">
        <v>1683.54</v>
      </c>
      <c r="O32" s="43">
        <v>1733.58</v>
      </c>
      <c r="P32" s="43">
        <v>1814.44</v>
      </c>
      <c r="Q32" s="43">
        <v>1875.83</v>
      </c>
      <c r="R32" s="43">
        <v>1942.69</v>
      </c>
      <c r="S32" s="77">
        <v>1942.69</v>
      </c>
      <c r="T32" s="77">
        <v>1942.69</v>
      </c>
      <c r="U32" s="43">
        <v>2021.22</v>
      </c>
      <c r="V32" s="43">
        <v>2117.2600000000002</v>
      </c>
      <c r="W32" s="43">
        <v>2202.29</v>
      </c>
      <c r="X32" s="43">
        <v>2276.48</v>
      </c>
      <c r="Y32" s="43">
        <v>2350.6999999999998</v>
      </c>
      <c r="Z32" s="106">
        <v>2412.9699999999998</v>
      </c>
      <c r="AA32" s="106">
        <v>2468.11</v>
      </c>
      <c r="AB32" s="106">
        <v>2510.8200000000002</v>
      </c>
      <c r="AC32" s="106">
        <v>2577.13</v>
      </c>
      <c r="AD32" s="106">
        <v>2633.64</v>
      </c>
      <c r="AE32" s="106">
        <v>2683.45</v>
      </c>
      <c r="AF32" s="106">
        <v>2738.41</v>
      </c>
      <c r="AG32" s="106">
        <v>2815.58</v>
      </c>
      <c r="AH32" s="106">
        <v>2903.5</v>
      </c>
      <c r="AI32" s="106">
        <v>2989.64</v>
      </c>
      <c r="AJ32" s="106">
        <v>3080.49</v>
      </c>
      <c r="AK32" s="24">
        <v>3160.95</v>
      </c>
      <c r="AL32" s="24">
        <v>3245.68</v>
      </c>
      <c r="AM32" s="77">
        <v>3245.68</v>
      </c>
      <c r="AN32" s="77">
        <v>3245.68</v>
      </c>
      <c r="AO32" s="24">
        <v>3315.67</v>
      </c>
      <c r="AP32" s="24">
        <v>3368.21</v>
      </c>
      <c r="AQ32" s="24">
        <v>3419.91</v>
      </c>
      <c r="AR32" s="24">
        <v>3467.33</v>
      </c>
      <c r="AS32" s="24">
        <v>3513.27</v>
      </c>
      <c r="AT32" s="24">
        <v>3589.45</v>
      </c>
    </row>
    <row r="33" spans="1:46" ht="17" thickBot="1">
      <c r="A33" s="27">
        <v>17</v>
      </c>
      <c r="B33" s="113" t="s">
        <v>70</v>
      </c>
      <c r="C33" s="32">
        <f t="shared" si="0"/>
        <v>72.2</v>
      </c>
      <c r="D33" s="32">
        <f t="shared" si="1"/>
        <v>67.7</v>
      </c>
      <c r="E33" s="54">
        <v>-268.98</v>
      </c>
      <c r="F33" s="81"/>
      <c r="G33" s="72">
        <v>42</v>
      </c>
      <c r="H33" s="29">
        <v>0.8</v>
      </c>
      <c r="I33" s="29">
        <v>0.8</v>
      </c>
      <c r="J33" s="43">
        <v>0.8</v>
      </c>
      <c r="K33" s="43">
        <v>0.8</v>
      </c>
      <c r="L33" s="43">
        <v>0.8</v>
      </c>
      <c r="M33" s="43">
        <v>0.8</v>
      </c>
      <c r="N33" s="43">
        <v>1.7</v>
      </c>
      <c r="O33" s="43">
        <v>1.7</v>
      </c>
      <c r="P33" s="43">
        <v>1.7</v>
      </c>
      <c r="Q33" s="43">
        <v>1.7</v>
      </c>
      <c r="R33" s="43">
        <v>1.7</v>
      </c>
      <c r="S33" s="77">
        <v>1.7</v>
      </c>
      <c r="T33" s="77">
        <v>1.7</v>
      </c>
      <c r="U33" s="43">
        <v>1.7</v>
      </c>
      <c r="V33" s="43">
        <v>1.7</v>
      </c>
      <c r="W33" s="43">
        <v>1.7</v>
      </c>
      <c r="X33" s="43">
        <v>4.8</v>
      </c>
      <c r="Y33" s="43">
        <v>16.100000000000001</v>
      </c>
      <c r="Z33" s="106">
        <v>17.8</v>
      </c>
      <c r="AA33" s="106">
        <v>23.9</v>
      </c>
      <c r="AB33" s="106">
        <v>29.3</v>
      </c>
      <c r="AC33" s="106">
        <v>39.6</v>
      </c>
      <c r="AD33" s="106">
        <v>52.8</v>
      </c>
      <c r="AE33" s="106">
        <v>57.4</v>
      </c>
      <c r="AF33" s="106">
        <v>60.4</v>
      </c>
      <c r="AG33" s="106">
        <v>60.4</v>
      </c>
      <c r="AH33" s="106">
        <v>60.4</v>
      </c>
      <c r="AI33" s="106">
        <v>60.4</v>
      </c>
      <c r="AJ33" s="106">
        <v>60.4</v>
      </c>
      <c r="AK33" s="106">
        <v>60.4</v>
      </c>
      <c r="AL33" s="106">
        <v>60.4</v>
      </c>
      <c r="AM33" s="77">
        <v>60.4</v>
      </c>
      <c r="AN33" s="77">
        <v>60.4</v>
      </c>
      <c r="AO33" s="106">
        <v>60.4</v>
      </c>
      <c r="AP33" s="24">
        <v>60.4</v>
      </c>
      <c r="AQ33" s="24">
        <v>60.4</v>
      </c>
      <c r="AR33" s="24">
        <v>62.4</v>
      </c>
      <c r="AS33" s="24">
        <v>67.7</v>
      </c>
      <c r="AT33" s="24">
        <v>72.2</v>
      </c>
    </row>
    <row r="34" spans="1:46" ht="17" thickBot="1">
      <c r="A34" s="27">
        <v>18</v>
      </c>
      <c r="B34" s="79" t="s">
        <v>92</v>
      </c>
      <c r="C34" s="32">
        <f t="shared" ref="C34:C65" si="2">INDEX($H34:$IV34,1,COUNTA($H34:$IV34))</f>
        <v>10522.53</v>
      </c>
      <c r="D34" s="32">
        <f t="shared" ref="D34:D65" si="3">INDEX($H34:$IV34,1,COUNTA($H34:$IV34)-1)</f>
        <v>10383.83</v>
      </c>
      <c r="E34" s="112">
        <v>2158.2399999999998</v>
      </c>
      <c r="F34" s="137">
        <f>919.03+1239.21</f>
        <v>2158.2399999999998</v>
      </c>
      <c r="G34" s="72">
        <v>7</v>
      </c>
      <c r="H34" s="29">
        <v>4022.14</v>
      </c>
      <c r="I34" s="43">
        <v>4313.3100000000004</v>
      </c>
      <c r="J34" s="43">
        <v>4588.4799999999996</v>
      </c>
      <c r="K34" s="43">
        <v>4798.6499999999996</v>
      </c>
      <c r="L34" s="43">
        <v>5000.2299999999996</v>
      </c>
      <c r="M34" s="43">
        <v>5235.13</v>
      </c>
      <c r="N34" s="43">
        <v>5426.22</v>
      </c>
      <c r="O34" s="43">
        <v>5606.62</v>
      </c>
      <c r="P34" s="43">
        <v>5784.11</v>
      </c>
      <c r="Q34" s="43">
        <v>5964.67</v>
      </c>
      <c r="R34" s="43">
        <v>6133.82</v>
      </c>
      <c r="S34" s="77">
        <v>6133.82</v>
      </c>
      <c r="T34" s="77">
        <v>6133.82</v>
      </c>
      <c r="U34" s="43">
        <v>6322.82</v>
      </c>
      <c r="V34" s="43">
        <v>6551.89</v>
      </c>
      <c r="W34" s="43">
        <v>6784.24</v>
      </c>
      <c r="X34" s="43">
        <v>6987.75</v>
      </c>
      <c r="Y34" s="43">
        <v>7168.74</v>
      </c>
      <c r="Z34" s="106">
        <v>7386.72</v>
      </c>
      <c r="AA34" s="106">
        <v>7576.28</v>
      </c>
      <c r="AB34" s="106">
        <v>7775.64</v>
      </c>
      <c r="AC34" s="106">
        <v>8002.5</v>
      </c>
      <c r="AD34" s="106">
        <v>8157.17</v>
      </c>
      <c r="AE34" s="106">
        <v>8256.24</v>
      </c>
      <c r="AF34" s="106">
        <v>8343.2800000000007</v>
      </c>
      <c r="AG34" s="106">
        <v>8461.58</v>
      </c>
      <c r="AH34" s="106">
        <v>8661.16</v>
      </c>
      <c r="AI34" s="106">
        <v>8886.9599999999991</v>
      </c>
      <c r="AJ34" s="106">
        <v>9101.15</v>
      </c>
      <c r="AK34" s="24">
        <v>9322.66</v>
      </c>
      <c r="AL34" s="24">
        <v>9509.3700000000008</v>
      </c>
      <c r="AM34" s="77">
        <v>9509.3700000000008</v>
      </c>
      <c r="AN34" s="77">
        <v>9509.3700000000008</v>
      </c>
      <c r="AO34" s="24">
        <v>9696.49</v>
      </c>
      <c r="AP34" s="24">
        <v>9859.64</v>
      </c>
      <c r="AQ34" s="24">
        <v>10031.799999999999</v>
      </c>
      <c r="AR34" s="24">
        <v>10234.08</v>
      </c>
      <c r="AS34" s="24">
        <v>10383.83</v>
      </c>
      <c r="AT34" s="24">
        <v>10522.53</v>
      </c>
    </row>
    <row r="35" spans="1:46" ht="17" thickBot="1">
      <c r="A35" s="27">
        <v>18</v>
      </c>
      <c r="B35" s="82" t="s">
        <v>92</v>
      </c>
      <c r="C35" s="32">
        <f t="shared" si="2"/>
        <v>2902.79</v>
      </c>
      <c r="D35" s="32">
        <f t="shared" si="3"/>
        <v>2867.84</v>
      </c>
      <c r="E35" s="78"/>
      <c r="F35" s="86"/>
      <c r="G35" s="72">
        <v>7</v>
      </c>
      <c r="H35" s="29">
        <v>973.15</v>
      </c>
      <c r="I35" s="43">
        <v>1046.73</v>
      </c>
      <c r="J35" s="43">
        <v>1133.17</v>
      </c>
      <c r="K35" s="43">
        <v>1206.01</v>
      </c>
      <c r="L35" s="43">
        <v>1256.01</v>
      </c>
      <c r="M35" s="43">
        <v>1321.41</v>
      </c>
      <c r="N35" s="43">
        <v>1376.84</v>
      </c>
      <c r="O35" s="43">
        <v>1429.16</v>
      </c>
      <c r="P35" s="43">
        <v>1478.18</v>
      </c>
      <c r="Q35" s="43">
        <v>1522.2</v>
      </c>
      <c r="R35" s="43">
        <v>1573.29</v>
      </c>
      <c r="S35" s="77">
        <v>1573.29</v>
      </c>
      <c r="T35" s="77">
        <v>1573.29</v>
      </c>
      <c r="U35" s="43">
        <v>1629.92</v>
      </c>
      <c r="V35" s="43">
        <v>1711.06</v>
      </c>
      <c r="W35" s="43">
        <v>1785.53</v>
      </c>
      <c r="X35" s="43">
        <v>1870.02</v>
      </c>
      <c r="Y35" s="43">
        <v>1943.52</v>
      </c>
      <c r="Z35" s="106">
        <v>2005.24</v>
      </c>
      <c r="AA35" s="106">
        <v>2062.1999999999998</v>
      </c>
      <c r="AB35" s="106">
        <v>2112.19</v>
      </c>
      <c r="AC35" s="106">
        <v>2158.63</v>
      </c>
      <c r="AD35" s="106">
        <v>2209.46</v>
      </c>
      <c r="AE35" s="106">
        <v>2248.38</v>
      </c>
      <c r="AF35" s="106">
        <v>2283.0100000000002</v>
      </c>
      <c r="AG35" s="106">
        <v>2323.94</v>
      </c>
      <c r="AH35" s="106">
        <v>2378</v>
      </c>
      <c r="AI35" s="106">
        <v>2448.11</v>
      </c>
      <c r="AJ35" s="106">
        <v>2510.54</v>
      </c>
      <c r="AK35" s="24">
        <v>2573.79</v>
      </c>
      <c r="AL35" s="24">
        <v>2637.42</v>
      </c>
      <c r="AM35" s="77">
        <v>2637.42</v>
      </c>
      <c r="AN35" s="77">
        <v>2637.42</v>
      </c>
      <c r="AO35" s="24">
        <v>2690.99</v>
      </c>
      <c r="AP35" s="24">
        <v>2736.63</v>
      </c>
      <c r="AQ35" s="24">
        <v>2778.74</v>
      </c>
      <c r="AR35" s="24">
        <v>2827.09</v>
      </c>
      <c r="AS35" s="24">
        <v>2867.84</v>
      </c>
      <c r="AT35" s="24">
        <v>2902.79</v>
      </c>
    </row>
    <row r="36" spans="1:46" ht="17" thickBot="1">
      <c r="A36" s="27">
        <v>19</v>
      </c>
      <c r="B36" s="79" t="s">
        <v>71</v>
      </c>
      <c r="C36" s="32">
        <f t="shared" si="2"/>
        <v>116.75</v>
      </c>
      <c r="D36" s="32">
        <f t="shared" si="3"/>
        <v>99.54</v>
      </c>
      <c r="E36" s="129">
        <v>415.72</v>
      </c>
      <c r="F36" s="137">
        <f>176.69+239.03</f>
        <v>415.72</v>
      </c>
      <c r="G36" s="72">
        <v>38</v>
      </c>
      <c r="H36" s="29">
        <v>154.80000000000001</v>
      </c>
      <c r="I36" s="29">
        <v>154.80000000000001</v>
      </c>
      <c r="J36" s="43">
        <v>154.80000000000001</v>
      </c>
      <c r="K36" s="43">
        <v>154.80000000000001</v>
      </c>
      <c r="L36" s="43">
        <v>0</v>
      </c>
      <c r="M36" s="43">
        <v>0.16</v>
      </c>
      <c r="N36" s="43">
        <v>0.16</v>
      </c>
      <c r="O36" s="43">
        <v>0.16</v>
      </c>
      <c r="P36" s="43">
        <v>0.16</v>
      </c>
      <c r="Q36" s="43">
        <v>0.16</v>
      </c>
      <c r="R36" s="43">
        <v>0.16</v>
      </c>
      <c r="S36" s="77">
        <v>0.16</v>
      </c>
      <c r="T36" s="77">
        <v>0.16</v>
      </c>
      <c r="U36" s="43">
        <v>0.16</v>
      </c>
      <c r="V36" s="43">
        <v>0.16</v>
      </c>
      <c r="W36" s="43">
        <v>0.16</v>
      </c>
      <c r="X36" s="43">
        <v>0.31</v>
      </c>
      <c r="Y36" s="43">
        <v>0.84</v>
      </c>
      <c r="Z36" s="106">
        <v>1</v>
      </c>
      <c r="AA36" s="106">
        <v>1.17</v>
      </c>
      <c r="AB36" s="106">
        <v>1.21</v>
      </c>
      <c r="AC36" s="106">
        <v>1.9</v>
      </c>
      <c r="AD36" s="106">
        <v>2.48</v>
      </c>
      <c r="AE36" s="106">
        <v>2.48</v>
      </c>
      <c r="AF36" s="106">
        <v>2.69</v>
      </c>
      <c r="AG36" s="106">
        <v>2.73</v>
      </c>
      <c r="AH36" s="106">
        <v>2.78</v>
      </c>
      <c r="AI36" s="106">
        <v>2.83</v>
      </c>
      <c r="AJ36" s="106">
        <v>2.83</v>
      </c>
      <c r="AK36" s="106">
        <v>2.86</v>
      </c>
      <c r="AL36" s="106">
        <v>2.86</v>
      </c>
      <c r="AM36" s="77">
        <v>2.86</v>
      </c>
      <c r="AN36" s="77">
        <v>2.86</v>
      </c>
      <c r="AO36" s="106">
        <v>2.86</v>
      </c>
      <c r="AP36" s="24">
        <v>6.42</v>
      </c>
      <c r="AQ36" s="24">
        <v>34.770000000000003</v>
      </c>
      <c r="AR36" s="24">
        <v>72.63</v>
      </c>
      <c r="AS36" s="24">
        <v>99.54</v>
      </c>
      <c r="AT36" s="24">
        <v>116.75</v>
      </c>
    </row>
    <row r="37" spans="1:46" ht="17" thickBot="1">
      <c r="A37" s="27">
        <v>19</v>
      </c>
      <c r="B37" s="82" t="s">
        <v>71</v>
      </c>
      <c r="C37" s="32">
        <f t="shared" si="2"/>
        <v>43.72</v>
      </c>
      <c r="D37" s="32">
        <f t="shared" si="3"/>
        <v>35.53</v>
      </c>
      <c r="E37" s="78"/>
      <c r="F37" s="119"/>
      <c r="G37" s="72">
        <v>38</v>
      </c>
      <c r="H37" s="29">
        <v>0</v>
      </c>
      <c r="I37" s="76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77">
        <v>0</v>
      </c>
      <c r="T37" s="77">
        <v>0</v>
      </c>
      <c r="U37" s="43">
        <v>0</v>
      </c>
      <c r="V37" s="43">
        <v>0</v>
      </c>
      <c r="W37" s="43">
        <v>0</v>
      </c>
      <c r="X37" s="43">
        <v>0.02</v>
      </c>
      <c r="Y37" s="43">
        <v>0.02</v>
      </c>
      <c r="Z37" s="43">
        <v>0.02</v>
      </c>
      <c r="AA37" s="43">
        <v>0.02</v>
      </c>
      <c r="AB37" s="43">
        <v>0.05</v>
      </c>
      <c r="AC37" s="106">
        <v>0.12</v>
      </c>
      <c r="AD37" s="106">
        <v>0.21</v>
      </c>
      <c r="AE37" s="106">
        <v>0.21</v>
      </c>
      <c r="AF37" s="106">
        <v>0.28000000000000003</v>
      </c>
      <c r="AG37" s="106">
        <v>0.28000000000000003</v>
      </c>
      <c r="AH37" s="106">
        <v>0.28000000000000003</v>
      </c>
      <c r="AI37" s="106">
        <v>0.28000000000000003</v>
      </c>
      <c r="AJ37" s="106">
        <v>0.28000000000000003</v>
      </c>
      <c r="AK37" s="106">
        <v>0.28999999999999998</v>
      </c>
      <c r="AL37" s="106">
        <v>0.28999999999999998</v>
      </c>
      <c r="AM37" s="77">
        <v>0.28999999999999998</v>
      </c>
      <c r="AN37" s="77">
        <v>0.28999999999999998</v>
      </c>
      <c r="AO37" s="106">
        <v>0.28999999999999998</v>
      </c>
      <c r="AP37" s="24">
        <v>0.28999999999999998</v>
      </c>
      <c r="AQ37" s="24">
        <v>10.35</v>
      </c>
      <c r="AR37" s="24">
        <v>23.94</v>
      </c>
      <c r="AS37" s="24">
        <v>35.53</v>
      </c>
      <c r="AT37" s="24">
        <v>43.72</v>
      </c>
    </row>
    <row r="38" spans="1:46" ht="17" thickBot="1">
      <c r="A38" s="27">
        <v>20</v>
      </c>
      <c r="B38" s="113" t="s">
        <v>72</v>
      </c>
      <c r="C38" s="32">
        <f t="shared" si="2"/>
        <v>25224.3</v>
      </c>
      <c r="D38" s="32">
        <f t="shared" si="3"/>
        <v>24772.9</v>
      </c>
      <c r="E38" s="78">
        <v>-568.91000000000008</v>
      </c>
      <c r="F38" s="137">
        <v>1000</v>
      </c>
      <c r="G38" s="72">
        <v>6</v>
      </c>
      <c r="H38" s="29">
        <v>8615.7000000000007</v>
      </c>
      <c r="I38" s="43">
        <v>8901.2000000000007</v>
      </c>
      <c r="J38" s="43">
        <v>10077.9</v>
      </c>
      <c r="K38" s="43">
        <v>10733.9</v>
      </c>
      <c r="L38" s="43">
        <v>11300.6</v>
      </c>
      <c r="M38" s="43">
        <v>11552.6</v>
      </c>
      <c r="N38" s="43">
        <v>11667.4</v>
      </c>
      <c r="O38" s="43">
        <v>11783.8</v>
      </c>
      <c r="P38" s="43">
        <v>11882.3</v>
      </c>
      <c r="Q38" s="43">
        <v>11992.6</v>
      </c>
      <c r="R38" s="43">
        <v>12086.6</v>
      </c>
      <c r="S38" s="77">
        <v>12086.6</v>
      </c>
      <c r="T38" s="77">
        <v>12086.6</v>
      </c>
      <c r="U38" s="43">
        <v>12448.4</v>
      </c>
      <c r="V38" s="43">
        <v>13196.9</v>
      </c>
      <c r="W38" s="43">
        <v>14061</v>
      </c>
      <c r="X38" s="43">
        <v>14954.3</v>
      </c>
      <c r="Y38" s="43">
        <v>15602.1</v>
      </c>
      <c r="Z38" s="106">
        <v>15893.5</v>
      </c>
      <c r="AA38" s="106">
        <v>16018.7</v>
      </c>
      <c r="AB38" s="106">
        <v>16162.6</v>
      </c>
      <c r="AC38" s="106">
        <v>16319.3</v>
      </c>
      <c r="AD38" s="106">
        <v>16378.1</v>
      </c>
      <c r="AE38" s="106">
        <v>16638</v>
      </c>
      <c r="AF38" s="106">
        <v>16938</v>
      </c>
      <c r="AG38" s="106">
        <v>17630.400000000001</v>
      </c>
      <c r="AH38" s="106">
        <v>18707.3</v>
      </c>
      <c r="AI38" s="106">
        <v>20000.7</v>
      </c>
      <c r="AJ38" s="106">
        <v>21585.1</v>
      </c>
      <c r="AK38" s="24">
        <v>22497.9</v>
      </c>
      <c r="AL38" s="24">
        <v>23569.200000000001</v>
      </c>
      <c r="AM38" s="77">
        <v>23569.200000000001</v>
      </c>
      <c r="AN38" s="77">
        <v>23569.200000000001</v>
      </c>
      <c r="AO38" s="24">
        <v>23965.3</v>
      </c>
      <c r="AP38" s="24">
        <v>24128.799999999999</v>
      </c>
      <c r="AQ38" s="24">
        <v>24317.3</v>
      </c>
      <c r="AR38" s="24">
        <v>24531.7</v>
      </c>
      <c r="AS38" s="24">
        <v>24772.9</v>
      </c>
      <c r="AT38" s="24">
        <v>25224.3</v>
      </c>
    </row>
    <row r="39" spans="1:46" ht="17" thickBot="1">
      <c r="A39" s="27">
        <v>21</v>
      </c>
      <c r="B39" s="79" t="s">
        <v>73</v>
      </c>
      <c r="C39" s="32">
        <f t="shared" si="2"/>
        <v>26511.9</v>
      </c>
      <c r="D39" s="32">
        <f t="shared" si="3"/>
        <v>26168.58</v>
      </c>
      <c r="E39" s="34">
        <v>2064.5499999999993</v>
      </c>
      <c r="F39" s="137">
        <v>4600</v>
      </c>
      <c r="G39" s="72">
        <v>31</v>
      </c>
      <c r="H39" s="29">
        <v>14487.48</v>
      </c>
      <c r="I39" s="43">
        <v>14845.08</v>
      </c>
      <c r="J39" s="43">
        <v>15372.63</v>
      </c>
      <c r="K39" s="43">
        <v>15643.41</v>
      </c>
      <c r="L39" s="43">
        <v>15898.35</v>
      </c>
      <c r="M39" s="43">
        <v>16269.91</v>
      </c>
      <c r="N39" s="43">
        <v>16606.34</v>
      </c>
      <c r="O39" s="43">
        <v>17021.919999999998</v>
      </c>
      <c r="P39" s="43">
        <v>17456.57</v>
      </c>
      <c r="Q39" s="43">
        <v>17905.240000000002</v>
      </c>
      <c r="R39" s="43">
        <v>18265.72</v>
      </c>
      <c r="S39" s="77">
        <v>18265.72</v>
      </c>
      <c r="T39" s="77">
        <v>18265.72</v>
      </c>
      <c r="U39" s="43">
        <v>18599.53</v>
      </c>
      <c r="V39" s="43">
        <v>18977.53</v>
      </c>
      <c r="W39" s="43">
        <v>19571.38</v>
      </c>
      <c r="X39" s="43">
        <v>20115.09</v>
      </c>
      <c r="Y39" s="43">
        <v>20416.53</v>
      </c>
      <c r="Z39" s="106">
        <v>20711.419999999998</v>
      </c>
      <c r="AA39" s="106">
        <v>21000.85</v>
      </c>
      <c r="AB39" s="106">
        <v>21202.93</v>
      </c>
      <c r="AC39" s="106">
        <v>21434.05</v>
      </c>
      <c r="AD39" s="106">
        <v>21650.959999999999</v>
      </c>
      <c r="AE39" s="106">
        <v>21909.35</v>
      </c>
      <c r="AF39" s="106">
        <v>22128.720000000001</v>
      </c>
      <c r="AG39" s="106">
        <v>22320.82</v>
      </c>
      <c r="AH39" s="106">
        <v>22670.19</v>
      </c>
      <c r="AI39" s="106">
        <v>23251.79</v>
      </c>
      <c r="AJ39" s="106">
        <v>23927.94</v>
      </c>
      <c r="AK39" s="24">
        <v>24339.54</v>
      </c>
      <c r="AL39" s="24">
        <v>24718.26</v>
      </c>
      <c r="AM39" s="77">
        <v>24718.26</v>
      </c>
      <c r="AN39" s="77">
        <v>24718.26</v>
      </c>
      <c r="AO39" s="24">
        <v>25011.78</v>
      </c>
      <c r="AP39" s="24">
        <v>25271.84</v>
      </c>
      <c r="AQ39" s="24">
        <v>25579.34</v>
      </c>
      <c r="AR39" s="24">
        <v>25855.06</v>
      </c>
      <c r="AS39" s="24">
        <v>26168.58</v>
      </c>
      <c r="AT39" s="24">
        <v>26511.9</v>
      </c>
    </row>
    <row r="40" spans="1:46" ht="17" thickBot="1">
      <c r="A40" s="27">
        <v>21</v>
      </c>
      <c r="B40" s="82" t="s">
        <v>73</v>
      </c>
      <c r="C40" s="32">
        <f t="shared" si="2"/>
        <v>14148.45</v>
      </c>
      <c r="D40" s="32">
        <f t="shared" si="3"/>
        <v>13997.3</v>
      </c>
      <c r="E40" s="133"/>
      <c r="F40" s="86"/>
      <c r="G40" s="72">
        <v>31</v>
      </c>
      <c r="H40" s="29">
        <v>8380.91</v>
      </c>
      <c r="I40" s="43">
        <v>8618.74</v>
      </c>
      <c r="J40" s="43">
        <v>8944.27</v>
      </c>
      <c r="K40" s="43">
        <v>9113.17</v>
      </c>
      <c r="L40" s="43">
        <v>9238.01</v>
      </c>
      <c r="M40" s="43">
        <v>9423.11</v>
      </c>
      <c r="N40" s="43">
        <v>9598.5499999999993</v>
      </c>
      <c r="O40" s="43">
        <v>9777.7800000000007</v>
      </c>
      <c r="P40" s="43">
        <v>9935.14</v>
      </c>
      <c r="Q40" s="43">
        <v>10153.39</v>
      </c>
      <c r="R40" s="43">
        <v>10333.16</v>
      </c>
      <c r="S40" s="77">
        <v>10333.16</v>
      </c>
      <c r="T40" s="77">
        <v>10333.16</v>
      </c>
      <c r="U40" s="43">
        <v>10506.4</v>
      </c>
      <c r="V40" s="43">
        <v>10712.1</v>
      </c>
      <c r="W40" s="43">
        <v>11015.98</v>
      </c>
      <c r="X40" s="43">
        <v>11296.96</v>
      </c>
      <c r="Y40" s="43">
        <v>11434.8</v>
      </c>
      <c r="Z40" s="106">
        <v>11567.89</v>
      </c>
      <c r="AA40" s="106">
        <v>11682.14</v>
      </c>
      <c r="AB40" s="106">
        <v>11792.6</v>
      </c>
      <c r="AC40" s="106">
        <v>11897.12</v>
      </c>
      <c r="AD40" s="106">
        <v>12007.29</v>
      </c>
      <c r="AE40" s="106">
        <v>12122.42</v>
      </c>
      <c r="AF40" s="106">
        <v>12221.36</v>
      </c>
      <c r="AG40" s="106">
        <v>12304.76</v>
      </c>
      <c r="AH40" s="106">
        <v>12465.13</v>
      </c>
      <c r="AI40" s="106">
        <v>12749.17</v>
      </c>
      <c r="AJ40" s="106">
        <v>13076.91</v>
      </c>
      <c r="AK40" s="24">
        <v>13283.06</v>
      </c>
      <c r="AL40" s="24">
        <v>13461.28</v>
      </c>
      <c r="AM40" s="77">
        <v>13461.28</v>
      </c>
      <c r="AN40" s="77">
        <v>13461.28</v>
      </c>
      <c r="AO40" s="24">
        <v>13596.65</v>
      </c>
      <c r="AP40" s="24">
        <v>13702.02</v>
      </c>
      <c r="AQ40" s="24">
        <v>13799.4</v>
      </c>
      <c r="AR40" s="24">
        <v>13888.46</v>
      </c>
      <c r="AS40" s="24">
        <v>13997.3</v>
      </c>
      <c r="AT40" s="24">
        <v>14148.45</v>
      </c>
    </row>
    <row r="41" spans="1:46" ht="17" thickBot="1">
      <c r="A41" s="27">
        <v>22</v>
      </c>
      <c r="B41" s="79" t="s">
        <v>74</v>
      </c>
      <c r="C41" s="32">
        <f t="shared" si="2"/>
        <v>19430.07</v>
      </c>
      <c r="D41" s="32">
        <f t="shared" si="3"/>
        <v>19306.05</v>
      </c>
      <c r="E41" s="112">
        <v>1236.4899999999993</v>
      </c>
      <c r="F41" s="137">
        <v>1236.49</v>
      </c>
      <c r="G41" s="72">
        <v>11</v>
      </c>
      <c r="H41" s="29">
        <v>11374.89</v>
      </c>
      <c r="I41" s="43">
        <v>11666.85</v>
      </c>
      <c r="J41" s="43">
        <v>11965.72</v>
      </c>
      <c r="K41" s="43">
        <v>12198.88</v>
      </c>
      <c r="L41" s="43">
        <v>12444.64</v>
      </c>
      <c r="M41" s="43">
        <v>12662.26</v>
      </c>
      <c r="N41" s="43">
        <v>12850.67</v>
      </c>
      <c r="O41" s="43">
        <v>13030.47</v>
      </c>
      <c r="P41" s="43">
        <v>13197.5</v>
      </c>
      <c r="Q41" s="43">
        <v>13383.49</v>
      </c>
      <c r="R41" s="43">
        <v>13568.33</v>
      </c>
      <c r="S41" s="77">
        <v>13568.33</v>
      </c>
      <c r="T41" s="77">
        <v>13568.33</v>
      </c>
      <c r="U41" s="43">
        <v>13797.7</v>
      </c>
      <c r="V41" s="43">
        <v>14074.05</v>
      </c>
      <c r="W41" s="43">
        <v>14383.23</v>
      </c>
      <c r="X41" s="43">
        <v>14675.16</v>
      </c>
      <c r="Y41" s="43">
        <v>14939.75</v>
      </c>
      <c r="Z41" s="106">
        <v>15174.88</v>
      </c>
      <c r="AA41" s="106">
        <v>15352.46</v>
      </c>
      <c r="AB41" s="106">
        <v>15557.84</v>
      </c>
      <c r="AC41" s="106">
        <v>15855.44</v>
      </c>
      <c r="AD41" s="106">
        <v>16087.37</v>
      </c>
      <c r="AE41" s="106">
        <v>16316.93</v>
      </c>
      <c r="AF41" s="106">
        <v>16519.349999999999</v>
      </c>
      <c r="AG41" s="106">
        <v>16782.29</v>
      </c>
      <c r="AH41" s="106">
        <v>17073.46</v>
      </c>
      <c r="AI41" s="106">
        <v>17368.22</v>
      </c>
      <c r="AJ41" s="106">
        <v>17690.919999999998</v>
      </c>
      <c r="AK41" s="24">
        <v>17946.59</v>
      </c>
      <c r="AL41" s="24">
        <v>18211</v>
      </c>
      <c r="AM41" s="77">
        <v>18211</v>
      </c>
      <c r="AN41" s="77">
        <v>18211</v>
      </c>
      <c r="AO41" s="24">
        <v>18406.52</v>
      </c>
      <c r="AP41" s="24">
        <v>18600.259999999998</v>
      </c>
      <c r="AQ41" s="24">
        <v>18824.330000000002</v>
      </c>
      <c r="AR41" s="24">
        <v>19118.52</v>
      </c>
      <c r="AS41" s="24">
        <v>19306.05</v>
      </c>
      <c r="AT41" s="24">
        <v>19430.07</v>
      </c>
    </row>
    <row r="42" spans="1:46" ht="17" thickBot="1">
      <c r="A42" s="27">
        <v>22</v>
      </c>
      <c r="B42" s="82" t="s">
        <v>74</v>
      </c>
      <c r="C42" s="32">
        <f t="shared" si="2"/>
        <v>8356.11</v>
      </c>
      <c r="D42" s="32">
        <f t="shared" si="3"/>
        <v>8311.1299999999992</v>
      </c>
      <c r="E42" s="78"/>
      <c r="F42" s="87"/>
      <c r="G42" s="72">
        <v>11</v>
      </c>
      <c r="H42" s="29">
        <v>4815.41</v>
      </c>
      <c r="I42" s="43">
        <v>4943.41</v>
      </c>
      <c r="J42" s="43">
        <v>5078.33</v>
      </c>
      <c r="K42" s="43">
        <v>5185.3500000000004</v>
      </c>
      <c r="L42" s="43">
        <v>5293.51</v>
      </c>
      <c r="M42" s="43">
        <v>5389.97</v>
      </c>
      <c r="N42" s="43">
        <v>5469.69</v>
      </c>
      <c r="O42" s="43">
        <v>5549.8</v>
      </c>
      <c r="P42" s="43">
        <v>5618.01</v>
      </c>
      <c r="Q42" s="43">
        <v>5693.78</v>
      </c>
      <c r="R42" s="43">
        <v>5773.06</v>
      </c>
      <c r="S42" s="77">
        <v>5773.06</v>
      </c>
      <c r="T42" s="77">
        <v>5773.06</v>
      </c>
      <c r="U42" s="43">
        <v>5877.09</v>
      </c>
      <c r="V42" s="43">
        <v>6000.39</v>
      </c>
      <c r="W42" s="43">
        <v>6131.57</v>
      </c>
      <c r="X42" s="43">
        <v>6269.08</v>
      </c>
      <c r="Y42" s="43">
        <v>6390.3</v>
      </c>
      <c r="Z42" s="106">
        <v>6495.94</v>
      </c>
      <c r="AA42" s="106">
        <v>6579.03</v>
      </c>
      <c r="AB42" s="106">
        <v>6673.05</v>
      </c>
      <c r="AC42" s="106">
        <v>6797.9</v>
      </c>
      <c r="AD42" s="106">
        <v>6906.64</v>
      </c>
      <c r="AE42" s="106">
        <v>7002.99</v>
      </c>
      <c r="AF42" s="106">
        <v>7096.07</v>
      </c>
      <c r="AG42" s="106">
        <v>7216.96</v>
      </c>
      <c r="AH42" s="106">
        <v>7353.6</v>
      </c>
      <c r="AI42" s="106">
        <v>7498.6</v>
      </c>
      <c r="AJ42" s="106">
        <v>7646.380000000001</v>
      </c>
      <c r="AK42" s="24">
        <v>7762.5</v>
      </c>
      <c r="AL42" s="24">
        <v>7881.64</v>
      </c>
      <c r="AM42" s="77">
        <v>7881.64</v>
      </c>
      <c r="AN42" s="77">
        <v>7881.64</v>
      </c>
      <c r="AO42" s="24">
        <v>7961.89</v>
      </c>
      <c r="AP42" s="24">
        <v>8041.27</v>
      </c>
      <c r="AQ42" s="24">
        <v>8132.48</v>
      </c>
      <c r="AR42" s="24">
        <v>8243.57</v>
      </c>
      <c r="AS42" s="24">
        <v>8311.1299999999992</v>
      </c>
      <c r="AT42" s="24">
        <v>8356.11</v>
      </c>
    </row>
    <row r="43" spans="1:46" ht="17" thickBot="1">
      <c r="A43" s="27">
        <v>23</v>
      </c>
      <c r="B43" s="79" t="s">
        <v>109</v>
      </c>
      <c r="C43" s="32">
        <f t="shared" si="2"/>
        <v>0</v>
      </c>
      <c r="D43" s="32">
        <f t="shared" si="3"/>
        <v>0</v>
      </c>
      <c r="E43" s="112">
        <v>0</v>
      </c>
      <c r="F43" s="129"/>
      <c r="G43" s="72">
        <v>58</v>
      </c>
      <c r="H43" s="130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</row>
    <row r="44" spans="1:46" ht="17" thickBot="1">
      <c r="A44" s="27">
        <v>23</v>
      </c>
      <c r="B44" s="82" t="s">
        <v>109</v>
      </c>
      <c r="C44" s="32">
        <f t="shared" si="2"/>
        <v>0</v>
      </c>
      <c r="D44" s="32">
        <f t="shared" si="3"/>
        <v>0</v>
      </c>
      <c r="E44" s="78"/>
      <c r="F44" s="87"/>
      <c r="G44" s="72">
        <v>58</v>
      </c>
      <c r="H44" s="130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</row>
    <row r="45" spans="1:46" ht="17" thickBot="1">
      <c r="A45" s="27">
        <v>24</v>
      </c>
      <c r="B45" s="117" t="s">
        <v>93</v>
      </c>
      <c r="C45" s="32">
        <f t="shared" si="2"/>
        <v>39313.1</v>
      </c>
      <c r="D45" s="32">
        <f t="shared" si="3"/>
        <v>39062.5</v>
      </c>
      <c r="E45" s="112">
        <v>2631.75</v>
      </c>
      <c r="F45" s="137">
        <v>2640</v>
      </c>
      <c r="G45" s="74">
        <v>26</v>
      </c>
      <c r="H45" s="29">
        <v>27405</v>
      </c>
      <c r="I45" s="43">
        <v>27943</v>
      </c>
      <c r="J45" s="43">
        <v>28627.200000000001</v>
      </c>
      <c r="K45" s="43">
        <v>29032.7</v>
      </c>
      <c r="L45" s="43">
        <v>29434.1</v>
      </c>
      <c r="M45" s="43">
        <v>29728.6</v>
      </c>
      <c r="N45" s="43">
        <v>29948.400000000001</v>
      </c>
      <c r="O45" s="43">
        <v>30170.2</v>
      </c>
      <c r="P45" s="43">
        <v>30393.4</v>
      </c>
      <c r="Q45" s="43">
        <v>30629.599999999999</v>
      </c>
      <c r="R45" s="43">
        <v>30865.4</v>
      </c>
      <c r="S45" s="77">
        <v>30865.4</v>
      </c>
      <c r="T45" s="77">
        <v>30865.4</v>
      </c>
      <c r="U45" s="43">
        <v>31235.1</v>
      </c>
      <c r="V45" s="43">
        <v>31838.3</v>
      </c>
      <c r="W45" s="43">
        <v>32776.9</v>
      </c>
      <c r="X45" s="43">
        <v>33653.300000000003</v>
      </c>
      <c r="Y45" s="43">
        <v>34317.300000000003</v>
      </c>
      <c r="Z45" s="106">
        <v>34622.1</v>
      </c>
      <c r="AA45" s="106">
        <v>34857.5</v>
      </c>
      <c r="AB45" s="106">
        <v>35116.199999999997</v>
      </c>
      <c r="AC45" s="106">
        <v>35427.199999999997</v>
      </c>
      <c r="AD45" s="106">
        <v>35715</v>
      </c>
      <c r="AE45" s="106">
        <v>35900.400000000001</v>
      </c>
      <c r="AF45" s="106">
        <v>36056.5</v>
      </c>
      <c r="AG45" s="106">
        <v>36319.5</v>
      </c>
      <c r="AH45" s="106">
        <v>36614.9</v>
      </c>
      <c r="AI45" s="106">
        <v>36733.699999999997</v>
      </c>
      <c r="AJ45" s="106">
        <v>36995.4</v>
      </c>
      <c r="AK45" s="24">
        <v>37302.699999999997</v>
      </c>
      <c r="AL45" s="24">
        <v>37759.4</v>
      </c>
      <c r="AM45" s="77">
        <v>37759.4</v>
      </c>
      <c r="AN45" s="77">
        <v>37759.4</v>
      </c>
      <c r="AO45" s="24">
        <v>38050.6</v>
      </c>
      <c r="AP45" s="24">
        <v>38307</v>
      </c>
      <c r="AQ45" s="24">
        <v>38558.300000000003</v>
      </c>
      <c r="AR45" s="24">
        <v>38823.5</v>
      </c>
      <c r="AS45" s="24">
        <v>39062.5</v>
      </c>
      <c r="AT45" s="24">
        <v>39313.1</v>
      </c>
    </row>
    <row r="46" spans="1:46" ht="17" thickBot="1">
      <c r="A46" s="27">
        <v>25</v>
      </c>
      <c r="B46" s="114" t="s">
        <v>75</v>
      </c>
      <c r="C46" s="32">
        <f t="shared" si="2"/>
        <v>4945.5</v>
      </c>
      <c r="D46" s="32">
        <f t="shared" si="3"/>
        <v>4945.5</v>
      </c>
      <c r="E46" s="54">
        <v>-15.04</v>
      </c>
      <c r="F46" s="118"/>
      <c r="G46" s="75">
        <v>27</v>
      </c>
      <c r="H46" s="31">
        <v>4945.5</v>
      </c>
      <c r="I46" s="80">
        <v>4945.5</v>
      </c>
      <c r="J46" s="43">
        <v>4945.5</v>
      </c>
      <c r="K46" s="43">
        <v>4945.5</v>
      </c>
      <c r="L46" s="43">
        <v>4945.5</v>
      </c>
      <c r="M46" s="43">
        <v>4945.5</v>
      </c>
      <c r="N46" s="43">
        <v>4945.5</v>
      </c>
      <c r="O46" s="43">
        <v>4945.5</v>
      </c>
      <c r="P46" s="43">
        <v>4945.5</v>
      </c>
      <c r="Q46" s="43">
        <v>4945.5</v>
      </c>
      <c r="R46" s="43">
        <v>4945.5</v>
      </c>
      <c r="S46" s="77">
        <v>4945.5</v>
      </c>
      <c r="T46" s="77">
        <v>4945.5</v>
      </c>
      <c r="U46" s="43">
        <v>4945.5</v>
      </c>
      <c r="V46" s="43">
        <v>4945.5</v>
      </c>
      <c r="W46" s="43">
        <v>4945.5</v>
      </c>
      <c r="X46" s="43">
        <v>4945.5</v>
      </c>
      <c r="Y46" s="43">
        <v>4945.5</v>
      </c>
      <c r="Z46" s="106">
        <v>4945.5</v>
      </c>
      <c r="AA46" s="106">
        <v>4945.5</v>
      </c>
      <c r="AB46" s="106">
        <v>4945.5</v>
      </c>
      <c r="AC46" s="106">
        <v>4945.5</v>
      </c>
      <c r="AD46" s="106">
        <v>4945.5</v>
      </c>
      <c r="AE46" s="106">
        <v>4945.5</v>
      </c>
      <c r="AF46" s="106">
        <v>4945.5</v>
      </c>
      <c r="AG46" s="106">
        <v>4945.5</v>
      </c>
      <c r="AH46" s="106">
        <v>4945.5</v>
      </c>
      <c r="AI46" s="106">
        <v>4945.5</v>
      </c>
      <c r="AJ46" s="106">
        <v>4945.5</v>
      </c>
      <c r="AK46" s="24">
        <v>4945.5</v>
      </c>
      <c r="AL46" s="24">
        <v>4945.5</v>
      </c>
      <c r="AM46" s="77">
        <v>4945.5</v>
      </c>
      <c r="AN46" s="77">
        <v>4945.5</v>
      </c>
      <c r="AO46" s="24">
        <v>4945.5</v>
      </c>
      <c r="AP46" s="24">
        <v>4945.5</v>
      </c>
      <c r="AQ46" s="24">
        <v>4945.5</v>
      </c>
      <c r="AR46" s="24">
        <v>4945.5</v>
      </c>
      <c r="AS46" s="24">
        <v>4945.5</v>
      </c>
      <c r="AT46" s="24">
        <v>4945.5</v>
      </c>
    </row>
    <row r="47" spans="1:46" ht="17" thickBot="1">
      <c r="A47" s="27">
        <v>26</v>
      </c>
      <c r="B47" s="79" t="s">
        <v>76</v>
      </c>
      <c r="C47" s="32">
        <f t="shared" si="2"/>
        <v>46053.79</v>
      </c>
      <c r="D47" s="32">
        <f t="shared" si="3"/>
        <v>45418.89</v>
      </c>
      <c r="E47" s="112">
        <v>19047.41</v>
      </c>
      <c r="F47" s="137">
        <v>19047.41</v>
      </c>
      <c r="G47" s="71">
        <v>20</v>
      </c>
      <c r="H47" s="28">
        <v>22377.42</v>
      </c>
      <c r="I47" s="43">
        <v>22994.6</v>
      </c>
      <c r="J47" s="43">
        <v>23555.94</v>
      </c>
      <c r="K47" s="43">
        <v>24177.55</v>
      </c>
      <c r="L47" s="43">
        <v>24688.2</v>
      </c>
      <c r="M47" s="43">
        <v>25561.06</v>
      </c>
      <c r="N47" s="43">
        <v>26384.46</v>
      </c>
      <c r="O47" s="43">
        <v>27173.66</v>
      </c>
      <c r="P47" s="43">
        <v>28129.05</v>
      </c>
      <c r="Q47" s="43">
        <v>28869.95</v>
      </c>
      <c r="R47" s="43">
        <v>29549.34</v>
      </c>
      <c r="S47" s="77">
        <v>29549.34</v>
      </c>
      <c r="T47" s="77">
        <v>29549.34</v>
      </c>
      <c r="U47" s="43">
        <v>30119.16</v>
      </c>
      <c r="V47" s="43">
        <v>30677</v>
      </c>
      <c r="W47" s="43">
        <v>31252.06</v>
      </c>
      <c r="X47" s="43">
        <v>31797.15</v>
      </c>
      <c r="Y47" s="43">
        <v>32316.04</v>
      </c>
      <c r="Z47" s="106">
        <v>32899.360000000001</v>
      </c>
      <c r="AA47" s="106">
        <v>33390.339999999997</v>
      </c>
      <c r="AB47" s="106">
        <v>34205.54</v>
      </c>
      <c r="AC47" s="106">
        <v>35232.199999999997</v>
      </c>
      <c r="AD47" s="106">
        <v>36063.26</v>
      </c>
      <c r="AE47" s="106">
        <v>36758.49</v>
      </c>
      <c r="AF47" s="106">
        <v>37400.6</v>
      </c>
      <c r="AG47" s="106">
        <v>37962.519999999997</v>
      </c>
      <c r="AH47" s="106">
        <v>38511</v>
      </c>
      <c r="AI47" s="106">
        <v>39051.94</v>
      </c>
      <c r="AJ47" s="106">
        <v>39646.94</v>
      </c>
      <c r="AK47" s="24">
        <v>40140.660000000003</v>
      </c>
      <c r="AL47" s="24">
        <v>40649.25</v>
      </c>
      <c r="AM47" s="77">
        <v>40649.25</v>
      </c>
      <c r="AN47" s="77">
        <v>40649.25</v>
      </c>
      <c r="AO47" s="24">
        <v>41460.620000000003</v>
      </c>
      <c r="AP47" s="24">
        <v>42325.38</v>
      </c>
      <c r="AQ47" s="24">
        <v>43335.67</v>
      </c>
      <c r="AR47" s="24">
        <v>44609.760000000002</v>
      </c>
      <c r="AS47" s="24">
        <v>45418.89</v>
      </c>
      <c r="AT47" s="24">
        <v>46053.79</v>
      </c>
    </row>
    <row r="48" spans="1:46" ht="17" thickBot="1">
      <c r="A48" s="27">
        <v>26</v>
      </c>
      <c r="B48" s="82" t="s">
        <v>76</v>
      </c>
      <c r="C48" s="32">
        <f t="shared" si="2"/>
        <v>17602.689999999999</v>
      </c>
      <c r="D48" s="32">
        <f t="shared" si="3"/>
        <v>17224.52</v>
      </c>
      <c r="E48" s="78"/>
      <c r="F48" s="86"/>
      <c r="G48" s="71">
        <v>20</v>
      </c>
      <c r="H48" s="29">
        <v>8569.42</v>
      </c>
      <c r="I48" s="43">
        <v>8809.1200000000008</v>
      </c>
      <c r="J48" s="43">
        <v>9038.9699999999993</v>
      </c>
      <c r="K48" s="43">
        <v>9289.7199999999993</v>
      </c>
      <c r="L48" s="43">
        <v>9496.7800000000007</v>
      </c>
      <c r="M48" s="43">
        <v>9830.52</v>
      </c>
      <c r="N48" s="43">
        <v>10166.719999999999</v>
      </c>
      <c r="O48" s="43">
        <v>10449.879999999999</v>
      </c>
      <c r="P48" s="43">
        <v>10767.86</v>
      </c>
      <c r="Q48" s="43">
        <v>11057.43</v>
      </c>
      <c r="R48" s="43">
        <v>11325.95</v>
      </c>
      <c r="S48" s="77">
        <v>11325.95</v>
      </c>
      <c r="T48" s="77">
        <v>11325.95</v>
      </c>
      <c r="U48" s="43">
        <v>11553.37</v>
      </c>
      <c r="V48" s="43">
        <v>11773.25</v>
      </c>
      <c r="W48" s="43">
        <v>12004.09</v>
      </c>
      <c r="X48" s="43">
        <v>12228.18</v>
      </c>
      <c r="Y48" s="43">
        <v>12442.86</v>
      </c>
      <c r="Z48" s="106">
        <v>12682.28</v>
      </c>
      <c r="AA48" s="106">
        <v>12856.75</v>
      </c>
      <c r="AB48" s="106">
        <v>13195.54</v>
      </c>
      <c r="AC48" s="106">
        <v>13525.42</v>
      </c>
      <c r="AD48" s="106">
        <v>13813.9</v>
      </c>
      <c r="AE48" s="106">
        <v>14054.27</v>
      </c>
      <c r="AF48" s="106">
        <v>14286.96</v>
      </c>
      <c r="AG48" s="106">
        <v>14517.97</v>
      </c>
      <c r="AH48" s="106">
        <v>14739.34</v>
      </c>
      <c r="AI48" s="106">
        <v>14966.31</v>
      </c>
      <c r="AJ48" s="106">
        <v>15228.14</v>
      </c>
      <c r="AK48" s="24">
        <v>15440.7</v>
      </c>
      <c r="AL48" s="24">
        <v>15673.02</v>
      </c>
      <c r="AM48" s="77">
        <v>15673.02</v>
      </c>
      <c r="AN48" s="77">
        <v>15673.02</v>
      </c>
      <c r="AO48" s="24">
        <v>15992</v>
      </c>
      <c r="AP48" s="24">
        <v>16301.75</v>
      </c>
      <c r="AQ48" s="24">
        <v>16647.04</v>
      </c>
      <c r="AR48" s="24">
        <v>17052.96</v>
      </c>
      <c r="AS48" s="24">
        <v>17224.52</v>
      </c>
      <c r="AT48" s="24">
        <v>17602.689999999999</v>
      </c>
    </row>
    <row r="49" spans="1:46" ht="17" thickBot="1">
      <c r="A49" s="27">
        <v>27</v>
      </c>
      <c r="B49" s="79" t="s">
        <v>77</v>
      </c>
      <c r="C49" s="32">
        <f t="shared" si="2"/>
        <v>13372.67</v>
      </c>
      <c r="D49" s="32">
        <f t="shared" si="3"/>
        <v>13168.71</v>
      </c>
      <c r="E49" s="111">
        <v>-47.769999999999527</v>
      </c>
      <c r="F49" s="137">
        <v>1500</v>
      </c>
      <c r="G49" s="72">
        <v>50</v>
      </c>
      <c r="H49" s="29">
        <v>6487.95</v>
      </c>
      <c r="I49" s="43">
        <v>6584.23</v>
      </c>
      <c r="J49" s="43">
        <v>6821.26</v>
      </c>
      <c r="K49" s="43">
        <v>6998.68</v>
      </c>
      <c r="L49" s="43">
        <v>7157.39</v>
      </c>
      <c r="M49" s="43">
        <v>7304.57</v>
      </c>
      <c r="N49" s="43">
        <v>7404.63</v>
      </c>
      <c r="O49" s="43">
        <v>7523.11</v>
      </c>
      <c r="P49" s="43">
        <v>7645.82</v>
      </c>
      <c r="Q49" s="43">
        <v>7825.1</v>
      </c>
      <c r="R49" s="43">
        <v>7968.22</v>
      </c>
      <c r="S49" s="77">
        <v>7968.22</v>
      </c>
      <c r="T49" s="77">
        <v>7968.22</v>
      </c>
      <c r="U49" s="43">
        <v>8126.09</v>
      </c>
      <c r="V49" s="43">
        <v>8326.8799999999992</v>
      </c>
      <c r="W49" s="43">
        <v>8545.34</v>
      </c>
      <c r="X49" s="43">
        <v>8732.7999999999993</v>
      </c>
      <c r="Y49" s="43">
        <v>8901.49</v>
      </c>
      <c r="Z49" s="106">
        <v>9083.42</v>
      </c>
      <c r="AA49" s="106">
        <v>9230.7199999999993</v>
      </c>
      <c r="AB49" s="106">
        <v>9343.17</v>
      </c>
      <c r="AC49" s="106">
        <v>9569.73</v>
      </c>
      <c r="AD49" s="106">
        <v>9867.5400000000009</v>
      </c>
      <c r="AE49" s="106">
        <v>10093.19</v>
      </c>
      <c r="AF49" s="106">
        <v>10271.58</v>
      </c>
      <c r="AG49" s="106">
        <v>10525.21</v>
      </c>
      <c r="AH49" s="106">
        <v>10765.38</v>
      </c>
      <c r="AI49" s="106">
        <v>10989.76</v>
      </c>
      <c r="AJ49" s="106">
        <v>11228.96</v>
      </c>
      <c r="AK49" s="24">
        <v>11437.96</v>
      </c>
      <c r="AL49" s="24">
        <v>11666.36</v>
      </c>
      <c r="AM49" s="77">
        <v>11666.36</v>
      </c>
      <c r="AN49" s="77">
        <v>11666.36</v>
      </c>
      <c r="AO49" s="24">
        <v>11876.33</v>
      </c>
      <c r="AP49" s="24">
        <v>12109.79</v>
      </c>
      <c r="AQ49" s="24">
        <v>12520.86</v>
      </c>
      <c r="AR49" s="24">
        <v>12941.1</v>
      </c>
      <c r="AS49" s="24">
        <v>13168.71</v>
      </c>
      <c r="AT49" s="24">
        <v>13372.67</v>
      </c>
    </row>
    <row r="50" spans="1:46" ht="17" thickBot="1">
      <c r="A50" s="27">
        <v>27</v>
      </c>
      <c r="B50" s="82" t="s">
        <v>77</v>
      </c>
      <c r="C50" s="32">
        <f t="shared" si="2"/>
        <v>5584.13</v>
      </c>
      <c r="D50" s="32">
        <f t="shared" si="3"/>
        <v>5499.52</v>
      </c>
      <c r="E50" s="78"/>
      <c r="F50" s="86"/>
      <c r="G50" s="72">
        <v>50</v>
      </c>
      <c r="H50" s="29">
        <v>2856.52</v>
      </c>
      <c r="I50" s="43">
        <v>2902.82</v>
      </c>
      <c r="J50" s="43">
        <v>2990.44</v>
      </c>
      <c r="K50" s="43">
        <v>3071.11</v>
      </c>
      <c r="L50" s="43">
        <v>3144.74</v>
      </c>
      <c r="M50" s="43">
        <v>3207.49</v>
      </c>
      <c r="N50" s="43">
        <v>3255.44</v>
      </c>
      <c r="O50" s="43">
        <v>3311.01</v>
      </c>
      <c r="P50" s="43">
        <v>3366.13</v>
      </c>
      <c r="Q50" s="43">
        <v>3443.61</v>
      </c>
      <c r="R50" s="43">
        <v>3510.3</v>
      </c>
      <c r="S50" s="77">
        <v>3510.3</v>
      </c>
      <c r="T50" s="77">
        <v>3510.3</v>
      </c>
      <c r="U50" s="43">
        <v>3580.85</v>
      </c>
      <c r="V50" s="43">
        <v>3664.23</v>
      </c>
      <c r="W50" s="43">
        <v>3749.72</v>
      </c>
      <c r="X50" s="43">
        <v>3829.08</v>
      </c>
      <c r="Y50" s="43">
        <v>3902.98</v>
      </c>
      <c r="Z50" s="106">
        <v>3979.12</v>
      </c>
      <c r="AA50" s="106">
        <v>4047.15</v>
      </c>
      <c r="AB50" s="106">
        <v>4097.63</v>
      </c>
      <c r="AC50" s="106">
        <v>4161.88</v>
      </c>
      <c r="AD50" s="106">
        <v>4249.5</v>
      </c>
      <c r="AE50" s="106">
        <v>4343.18</v>
      </c>
      <c r="AF50" s="106">
        <v>4417.51</v>
      </c>
      <c r="AG50" s="106">
        <v>4521.3999999999996</v>
      </c>
      <c r="AH50" s="106">
        <v>4623.41</v>
      </c>
      <c r="AI50" s="106">
        <v>4724.24</v>
      </c>
      <c r="AJ50" s="106">
        <v>4832.22</v>
      </c>
      <c r="AK50" s="24">
        <v>4923.8500000000004</v>
      </c>
      <c r="AL50" s="24">
        <v>5024.1899999999996</v>
      </c>
      <c r="AM50" s="77">
        <v>5024.1899999999996</v>
      </c>
      <c r="AN50" s="77">
        <v>5024.1899999999996</v>
      </c>
      <c r="AO50" s="24">
        <v>5121.0200000000004</v>
      </c>
      <c r="AP50" s="24">
        <v>5214.22</v>
      </c>
      <c r="AQ50" s="24">
        <v>5318.84</v>
      </c>
      <c r="AR50" s="24">
        <v>5422</v>
      </c>
      <c r="AS50" s="24">
        <v>5499.52</v>
      </c>
      <c r="AT50" s="24">
        <v>5584.13</v>
      </c>
    </row>
    <row r="51" spans="1:46" ht="17" thickBot="1">
      <c r="A51" s="27">
        <v>28</v>
      </c>
      <c r="B51" s="79" t="s">
        <v>78</v>
      </c>
      <c r="C51" s="32">
        <f t="shared" si="2"/>
        <v>43.61</v>
      </c>
      <c r="D51" s="32">
        <f t="shared" si="3"/>
        <v>43.56</v>
      </c>
      <c r="E51" s="110">
        <v>-302.7</v>
      </c>
      <c r="F51" s="86"/>
      <c r="G51" s="72">
        <v>4</v>
      </c>
      <c r="H51" s="29">
        <v>36.5</v>
      </c>
      <c r="I51" s="29">
        <v>36.5</v>
      </c>
      <c r="J51" s="43">
        <v>36.5</v>
      </c>
      <c r="K51" s="43">
        <v>36.5</v>
      </c>
      <c r="L51" s="43">
        <v>36.5</v>
      </c>
      <c r="M51" s="43">
        <v>37.659999999999997</v>
      </c>
      <c r="N51" s="43">
        <v>38.47</v>
      </c>
      <c r="O51" s="43">
        <v>38.47</v>
      </c>
      <c r="P51" s="43">
        <v>38.479999999999997</v>
      </c>
      <c r="Q51" s="43">
        <v>38.67</v>
      </c>
      <c r="R51" s="43">
        <v>38.67</v>
      </c>
      <c r="S51" s="77">
        <v>38.67</v>
      </c>
      <c r="T51" s="77">
        <v>38.67</v>
      </c>
      <c r="U51" s="43">
        <v>38.68</v>
      </c>
      <c r="V51" s="43">
        <v>38.68</v>
      </c>
      <c r="W51" s="43">
        <v>38.69</v>
      </c>
      <c r="X51" s="43">
        <v>38.69</v>
      </c>
      <c r="Y51" s="43">
        <v>38.69</v>
      </c>
      <c r="Z51" s="106">
        <v>38.72</v>
      </c>
      <c r="AA51" s="106">
        <v>39.159999999999997</v>
      </c>
      <c r="AB51" s="106">
        <v>39.159999999999997</v>
      </c>
      <c r="AC51" s="106">
        <v>39.159999999999997</v>
      </c>
      <c r="AD51" s="106">
        <v>39.200000000000003</v>
      </c>
      <c r="AE51" s="106">
        <v>39.229999999999997</v>
      </c>
      <c r="AF51" s="106">
        <v>39.25</v>
      </c>
      <c r="AG51" s="106">
        <v>39.25</v>
      </c>
      <c r="AH51" s="106">
        <v>39.25</v>
      </c>
      <c r="AI51" s="106">
        <v>39.25</v>
      </c>
      <c r="AJ51" s="106">
        <v>39.25</v>
      </c>
      <c r="AK51" s="24">
        <v>41.36</v>
      </c>
      <c r="AL51" s="24">
        <v>41.36</v>
      </c>
      <c r="AM51" s="77">
        <v>41.36</v>
      </c>
      <c r="AN51" s="77">
        <v>41.36</v>
      </c>
      <c r="AO51" s="24">
        <v>42.53</v>
      </c>
      <c r="AP51" s="24">
        <v>42.56</v>
      </c>
      <c r="AQ51" s="24">
        <v>43.03</v>
      </c>
      <c r="AR51" s="24">
        <v>43.09</v>
      </c>
      <c r="AS51" s="24">
        <v>43.56</v>
      </c>
      <c r="AT51" s="24">
        <v>43.61</v>
      </c>
    </row>
    <row r="52" spans="1:46" ht="17" thickBot="1">
      <c r="A52" s="27">
        <v>28</v>
      </c>
      <c r="B52" s="82" t="s">
        <v>78</v>
      </c>
      <c r="C52" s="32">
        <f t="shared" si="2"/>
        <v>3.39</v>
      </c>
      <c r="D52" s="32">
        <f t="shared" si="3"/>
        <v>3.34</v>
      </c>
      <c r="E52" s="78"/>
      <c r="F52" s="86"/>
      <c r="G52" s="72">
        <v>4</v>
      </c>
      <c r="H52" s="29">
        <v>2.85</v>
      </c>
      <c r="I52" s="29">
        <v>2.85</v>
      </c>
      <c r="J52" s="43">
        <v>2.85</v>
      </c>
      <c r="K52" s="43">
        <v>2.85</v>
      </c>
      <c r="L52" s="43">
        <v>2.85</v>
      </c>
      <c r="M52" s="43">
        <v>2.85</v>
      </c>
      <c r="N52" s="43">
        <v>2.85</v>
      </c>
      <c r="O52" s="43">
        <v>2.85</v>
      </c>
      <c r="P52" s="43">
        <v>2.87</v>
      </c>
      <c r="Q52" s="43">
        <v>2.88</v>
      </c>
      <c r="R52" s="43">
        <v>2.88</v>
      </c>
      <c r="S52" s="77">
        <v>2.88</v>
      </c>
      <c r="T52" s="77">
        <v>2.88</v>
      </c>
      <c r="U52" s="43">
        <v>2.88</v>
      </c>
      <c r="V52" s="43">
        <v>2.88</v>
      </c>
      <c r="W52" s="43">
        <v>2.88</v>
      </c>
      <c r="X52" s="43">
        <v>2.88</v>
      </c>
      <c r="Y52" s="43">
        <v>2.88</v>
      </c>
      <c r="Z52" s="106">
        <v>2.88</v>
      </c>
      <c r="AA52" s="106">
        <v>2.88</v>
      </c>
      <c r="AB52" s="106">
        <v>2.88</v>
      </c>
      <c r="AC52" s="106">
        <v>2.88</v>
      </c>
      <c r="AD52" s="106">
        <v>2.88</v>
      </c>
      <c r="AE52" s="106">
        <v>2.88</v>
      </c>
      <c r="AF52" s="106">
        <v>2.88</v>
      </c>
      <c r="AG52" s="106">
        <v>2.88</v>
      </c>
      <c r="AH52" s="106">
        <v>2.88</v>
      </c>
      <c r="AI52" s="106">
        <v>2.88</v>
      </c>
      <c r="AJ52" s="106">
        <v>2.88</v>
      </c>
      <c r="AK52" s="106">
        <v>2.88</v>
      </c>
      <c r="AL52" s="106">
        <v>2.88</v>
      </c>
      <c r="AM52" s="77">
        <v>2.88</v>
      </c>
      <c r="AN52" s="77">
        <v>2.88</v>
      </c>
      <c r="AO52" s="24">
        <v>2.9</v>
      </c>
      <c r="AP52" s="24">
        <v>2.95</v>
      </c>
      <c r="AQ52" s="24">
        <v>3.2</v>
      </c>
      <c r="AR52" s="24">
        <v>3.27</v>
      </c>
      <c r="AS52" s="24">
        <v>3.34</v>
      </c>
      <c r="AT52" s="24">
        <v>3.39</v>
      </c>
    </row>
    <row r="53" spans="1:46" ht="17" thickBot="1">
      <c r="A53" s="27">
        <v>29</v>
      </c>
      <c r="B53" s="79" t="s">
        <v>79</v>
      </c>
      <c r="C53" s="32">
        <f t="shared" si="2"/>
        <v>7069.85</v>
      </c>
      <c r="D53" s="32">
        <f t="shared" si="3"/>
        <v>6963.03</v>
      </c>
      <c r="E53" s="111">
        <v>-49.889999999999816</v>
      </c>
      <c r="F53" s="137">
        <v>1350</v>
      </c>
      <c r="G53" s="72">
        <v>32</v>
      </c>
      <c r="H53" s="29">
        <v>4330.26</v>
      </c>
      <c r="I53" s="43">
        <v>4452.13</v>
      </c>
      <c r="J53" s="43">
        <v>4519.38</v>
      </c>
      <c r="K53" s="43">
        <v>4591.71</v>
      </c>
      <c r="L53" s="43">
        <v>4670.8599999999997</v>
      </c>
      <c r="M53" s="43">
        <v>4740.95</v>
      </c>
      <c r="N53" s="43">
        <v>4799.47</v>
      </c>
      <c r="O53" s="43">
        <v>4858.42</v>
      </c>
      <c r="P53" s="43">
        <v>4926.1000000000004</v>
      </c>
      <c r="Q53" s="43">
        <v>4996.75</v>
      </c>
      <c r="R53" s="43">
        <v>5068.74</v>
      </c>
      <c r="S53" s="77">
        <v>5068.74</v>
      </c>
      <c r="T53" s="77">
        <v>5068.74</v>
      </c>
      <c r="U53" s="43">
        <v>5139.91</v>
      </c>
      <c r="V53" s="43">
        <v>5205.01</v>
      </c>
      <c r="W53" s="43">
        <v>5273.93</v>
      </c>
      <c r="X53" s="43">
        <v>5335.86</v>
      </c>
      <c r="Y53" s="43">
        <v>5409.97</v>
      </c>
      <c r="Z53" s="106">
        <v>5516.23</v>
      </c>
      <c r="AA53" s="106">
        <v>5606.29</v>
      </c>
      <c r="AB53" s="106">
        <v>5662.33</v>
      </c>
      <c r="AC53" s="106">
        <v>5725.76</v>
      </c>
      <c r="AD53" s="106">
        <v>5785.97</v>
      </c>
      <c r="AE53" s="106">
        <v>5852.31</v>
      </c>
      <c r="AF53" s="106">
        <v>5953.89</v>
      </c>
      <c r="AG53" s="106">
        <v>6046.95</v>
      </c>
      <c r="AH53" s="106">
        <v>6122.27</v>
      </c>
      <c r="AI53" s="106">
        <v>6224.04</v>
      </c>
      <c r="AJ53" s="106">
        <v>6341.65</v>
      </c>
      <c r="AK53" s="24">
        <v>6445.66</v>
      </c>
      <c r="AL53" s="24">
        <v>6572.56</v>
      </c>
      <c r="AM53" s="77">
        <v>6572.56</v>
      </c>
      <c r="AN53" s="77">
        <v>6572.56</v>
      </c>
      <c r="AO53" s="24">
        <v>6718.6</v>
      </c>
      <c r="AP53" s="24">
        <v>6774.73</v>
      </c>
      <c r="AQ53" s="24">
        <v>6834.2</v>
      </c>
      <c r="AR53" s="24">
        <v>6899.73</v>
      </c>
      <c r="AS53" s="24">
        <v>6963.03</v>
      </c>
      <c r="AT53" s="24">
        <v>7069.85</v>
      </c>
    </row>
    <row r="54" spans="1:46" ht="17" thickBot="1">
      <c r="A54" s="27">
        <v>29</v>
      </c>
      <c r="B54" s="82" t="s">
        <v>79</v>
      </c>
      <c r="C54" s="32">
        <f t="shared" si="2"/>
        <v>1837.21</v>
      </c>
      <c r="D54" s="32">
        <f t="shared" si="3"/>
        <v>1797.76</v>
      </c>
      <c r="E54" s="78"/>
      <c r="F54" s="86"/>
      <c r="G54" s="72">
        <v>32</v>
      </c>
      <c r="H54" s="29">
        <v>853.07</v>
      </c>
      <c r="I54" s="43">
        <v>887.05</v>
      </c>
      <c r="J54" s="43">
        <v>911.94</v>
      </c>
      <c r="K54" s="43">
        <v>929.87</v>
      </c>
      <c r="L54" s="43">
        <v>964.9</v>
      </c>
      <c r="M54" s="43">
        <v>984.82</v>
      </c>
      <c r="N54" s="43">
        <v>1001.97</v>
      </c>
      <c r="O54" s="43">
        <v>1018.4</v>
      </c>
      <c r="P54" s="43">
        <v>1035.92</v>
      </c>
      <c r="Q54" s="43">
        <v>1050.6400000000001</v>
      </c>
      <c r="R54" s="43">
        <v>1071.0899999999999</v>
      </c>
      <c r="S54" s="77">
        <v>1071.0899999999999</v>
      </c>
      <c r="T54" s="77">
        <v>1071.0899999999999</v>
      </c>
      <c r="U54" s="43">
        <v>1099.52</v>
      </c>
      <c r="V54" s="43">
        <v>1130.8399999999999</v>
      </c>
      <c r="W54" s="43">
        <v>1191.52</v>
      </c>
      <c r="X54" s="43">
        <v>1211.97</v>
      </c>
      <c r="Y54" s="43">
        <v>1250.33</v>
      </c>
      <c r="Z54" s="106">
        <v>1315.25</v>
      </c>
      <c r="AA54" s="106">
        <v>1361.9</v>
      </c>
      <c r="AB54" s="106">
        <v>1375.77</v>
      </c>
      <c r="AC54" s="106">
        <v>1390.78</v>
      </c>
      <c r="AD54" s="106">
        <v>1407.55</v>
      </c>
      <c r="AE54" s="106">
        <v>1424.24</v>
      </c>
      <c r="AF54" s="106">
        <v>1459.38</v>
      </c>
      <c r="AG54" s="106">
        <v>1504.4</v>
      </c>
      <c r="AH54" s="106">
        <v>1520.71</v>
      </c>
      <c r="AI54" s="106">
        <v>1553.56</v>
      </c>
      <c r="AJ54" s="106">
        <v>1594.06</v>
      </c>
      <c r="AK54" s="24">
        <v>1628.26</v>
      </c>
      <c r="AL54" s="24">
        <v>1657.98</v>
      </c>
      <c r="AM54" s="77">
        <v>1657.98</v>
      </c>
      <c r="AN54" s="77">
        <v>1657.98</v>
      </c>
      <c r="AO54" s="24">
        <v>1728.71</v>
      </c>
      <c r="AP54" s="24">
        <v>1745.77</v>
      </c>
      <c r="AQ54" s="24">
        <v>1763.4</v>
      </c>
      <c r="AR54" s="24">
        <v>1780.76</v>
      </c>
      <c r="AS54" s="24">
        <v>1797.76</v>
      </c>
      <c r="AT54" s="24">
        <v>1837.21</v>
      </c>
    </row>
    <row r="55" spans="1:46" ht="17" thickBot="1">
      <c r="A55" s="27">
        <v>30</v>
      </c>
      <c r="B55" s="113" t="s">
        <v>80</v>
      </c>
      <c r="C55" s="32">
        <f t="shared" si="2"/>
        <v>2305.6</v>
      </c>
      <c r="D55" s="32">
        <f t="shared" si="3"/>
        <v>2300.6</v>
      </c>
      <c r="E55" s="54">
        <v>38.689999999999856</v>
      </c>
      <c r="F55" s="137">
        <v>57</v>
      </c>
      <c r="G55" s="72">
        <v>48</v>
      </c>
      <c r="H55" s="29">
        <v>1258</v>
      </c>
      <c r="I55" s="43">
        <v>1305</v>
      </c>
      <c r="J55" s="43">
        <v>1332.4</v>
      </c>
      <c r="K55" s="43">
        <v>1389.3</v>
      </c>
      <c r="L55" s="43">
        <v>1432.8</v>
      </c>
      <c r="M55" s="43">
        <v>1440.6</v>
      </c>
      <c r="N55" s="43">
        <v>1447</v>
      </c>
      <c r="O55" s="43">
        <v>1453</v>
      </c>
      <c r="P55" s="43">
        <v>1458.7</v>
      </c>
      <c r="Q55" s="43">
        <v>1464.6</v>
      </c>
      <c r="R55" s="43">
        <v>1470.3</v>
      </c>
      <c r="S55" s="77">
        <v>1470.3</v>
      </c>
      <c r="T55" s="77">
        <v>1470.3</v>
      </c>
      <c r="U55" s="43">
        <v>1476.1</v>
      </c>
      <c r="V55" s="43">
        <v>1517.1</v>
      </c>
      <c r="W55" s="43">
        <v>1577.3</v>
      </c>
      <c r="X55" s="43">
        <v>1635.9</v>
      </c>
      <c r="Y55" s="43">
        <v>1682.8</v>
      </c>
      <c r="Z55" s="106">
        <v>1689</v>
      </c>
      <c r="AA55" s="106">
        <v>1696.6</v>
      </c>
      <c r="AB55" s="106">
        <v>1710.2</v>
      </c>
      <c r="AC55" s="106">
        <v>1718.7</v>
      </c>
      <c r="AD55" s="106">
        <v>1833.8</v>
      </c>
      <c r="AE55" s="106">
        <v>1942.3</v>
      </c>
      <c r="AF55" s="106">
        <v>1950.8</v>
      </c>
      <c r="AG55" s="106">
        <v>1971.1</v>
      </c>
      <c r="AH55" s="106">
        <v>2057</v>
      </c>
      <c r="AI55" s="106">
        <v>2139.8000000000002</v>
      </c>
      <c r="AJ55" s="106">
        <v>2226.9</v>
      </c>
      <c r="AK55" s="24">
        <v>2269.3000000000002</v>
      </c>
      <c r="AL55" s="24">
        <v>2274.6999999999998</v>
      </c>
      <c r="AM55" s="77">
        <v>2274.6999999999998</v>
      </c>
      <c r="AN55" s="77">
        <v>2274.6999999999998</v>
      </c>
      <c r="AO55" s="24">
        <v>2279.9</v>
      </c>
      <c r="AP55" s="24">
        <v>2285.1999999999998</v>
      </c>
      <c r="AQ55" s="24">
        <v>2290.1999999999998</v>
      </c>
      <c r="AR55" s="24">
        <v>2295.6</v>
      </c>
      <c r="AS55" s="24">
        <v>2300.6</v>
      </c>
      <c r="AT55" s="24">
        <v>2305.6</v>
      </c>
    </row>
    <row r="56" spans="1:46" ht="17" thickBot="1">
      <c r="A56" s="27">
        <v>31</v>
      </c>
      <c r="B56" s="79" t="s">
        <v>81</v>
      </c>
      <c r="C56" s="32">
        <f t="shared" si="2"/>
        <v>21100.61</v>
      </c>
      <c r="D56" s="32">
        <f t="shared" si="3"/>
        <v>20816.77</v>
      </c>
      <c r="E56" s="78">
        <v>2665.42</v>
      </c>
      <c r="F56" s="137">
        <v>2665.42</v>
      </c>
      <c r="G56" s="72">
        <v>33</v>
      </c>
      <c r="H56" s="29">
        <v>11501.96</v>
      </c>
      <c r="I56" s="43">
        <v>11700.28</v>
      </c>
      <c r="J56" s="43">
        <v>11886.74</v>
      </c>
      <c r="K56" s="43">
        <v>12025.59</v>
      </c>
      <c r="L56" s="43">
        <v>12207.75</v>
      </c>
      <c r="M56" s="43">
        <v>12506.54</v>
      </c>
      <c r="N56" s="43">
        <v>12793.59</v>
      </c>
      <c r="O56" s="43">
        <v>13117.96</v>
      </c>
      <c r="P56" s="43">
        <v>13567.79</v>
      </c>
      <c r="Q56" s="43">
        <v>13939.51</v>
      </c>
      <c r="R56" s="43">
        <v>14185.42</v>
      </c>
      <c r="S56" s="77">
        <v>14185.42</v>
      </c>
      <c r="T56" s="77">
        <v>14185.42</v>
      </c>
      <c r="U56" s="43">
        <v>14389.11</v>
      </c>
      <c r="V56" s="43">
        <v>14616.12</v>
      </c>
      <c r="W56" s="43">
        <v>14882.07</v>
      </c>
      <c r="X56" s="43">
        <v>15069.5</v>
      </c>
      <c r="Y56" s="43">
        <v>15250.38</v>
      </c>
      <c r="Z56" s="106">
        <v>15526.35</v>
      </c>
      <c r="AA56" s="106">
        <v>15813.56</v>
      </c>
      <c r="AB56" s="106">
        <v>16165.07</v>
      </c>
      <c r="AC56" s="106">
        <v>16641.400000000001</v>
      </c>
      <c r="AD56" s="106">
        <v>17094.8</v>
      </c>
      <c r="AE56" s="106">
        <v>17538.47</v>
      </c>
      <c r="AF56" s="106">
        <v>17785.88</v>
      </c>
      <c r="AG56" s="106">
        <v>17979.330000000002</v>
      </c>
      <c r="AH56" s="106">
        <v>18165.12</v>
      </c>
      <c r="AI56" s="106">
        <v>18352.39</v>
      </c>
      <c r="AJ56" s="106">
        <v>18551.54</v>
      </c>
      <c r="AK56" s="24">
        <v>18732.990000000002</v>
      </c>
      <c r="AL56" s="24">
        <v>18932.400000000001</v>
      </c>
      <c r="AM56" s="77">
        <v>18932.400000000001</v>
      </c>
      <c r="AN56" s="77">
        <v>18932.400000000001</v>
      </c>
      <c r="AO56" s="24">
        <v>19149.45</v>
      </c>
      <c r="AP56" s="24">
        <v>19454.189999999999</v>
      </c>
      <c r="AQ56" s="24">
        <v>19911.11</v>
      </c>
      <c r="AR56" s="24">
        <v>20435.349999999999</v>
      </c>
      <c r="AS56" s="24">
        <v>20816.77</v>
      </c>
      <c r="AT56" s="24">
        <v>21100.61</v>
      </c>
    </row>
    <row r="57" spans="1:46" ht="17" thickBot="1">
      <c r="A57" s="27">
        <v>31</v>
      </c>
      <c r="B57" s="82" t="s">
        <v>81</v>
      </c>
      <c r="C57" s="32">
        <f t="shared" si="2"/>
        <v>7930.14</v>
      </c>
      <c r="D57" s="32">
        <f t="shared" si="3"/>
        <v>7812.25</v>
      </c>
      <c r="E57" s="133"/>
      <c r="F57" s="134"/>
      <c r="G57" s="72">
        <v>33</v>
      </c>
      <c r="H57" s="29">
        <v>4116.6099999999997</v>
      </c>
      <c r="I57" s="43">
        <v>4185.16</v>
      </c>
      <c r="J57" s="43">
        <v>4260.9139999999998</v>
      </c>
      <c r="K57" s="43">
        <v>4318.9799999999996</v>
      </c>
      <c r="L57" s="43">
        <v>4389.6000000000004</v>
      </c>
      <c r="M57" s="43">
        <v>4515.34</v>
      </c>
      <c r="N57" s="43">
        <v>4639.88</v>
      </c>
      <c r="O57" s="43">
        <v>4778.09</v>
      </c>
      <c r="P57" s="43">
        <v>4918.09</v>
      </c>
      <c r="Q57" s="43">
        <v>5057.93</v>
      </c>
      <c r="R57" s="43">
        <v>5163.4800000000014</v>
      </c>
      <c r="S57" s="77">
        <v>5163.4800000000014</v>
      </c>
      <c r="T57" s="77">
        <v>5163.4800000000014</v>
      </c>
      <c r="U57" s="43">
        <v>5245.68</v>
      </c>
      <c r="V57" s="43">
        <v>5340.24</v>
      </c>
      <c r="W57" s="43">
        <v>5459.36</v>
      </c>
      <c r="X57" s="43">
        <v>5532.83</v>
      </c>
      <c r="Y57" s="43">
        <v>5603.81</v>
      </c>
      <c r="Z57" s="106">
        <v>5716.43</v>
      </c>
      <c r="AA57" s="106">
        <v>5843.31</v>
      </c>
      <c r="AB57" s="106">
        <v>6001.49</v>
      </c>
      <c r="AC57" s="106">
        <v>6190.02</v>
      </c>
      <c r="AD57" s="106">
        <v>6381.53</v>
      </c>
      <c r="AE57" s="106">
        <v>6542.02</v>
      </c>
      <c r="AF57" s="106">
        <v>6639.04</v>
      </c>
      <c r="AG57" s="106">
        <v>6716.21</v>
      </c>
      <c r="AH57" s="106">
        <v>6788.99</v>
      </c>
      <c r="AI57" s="106">
        <v>6859.13</v>
      </c>
      <c r="AJ57" s="106">
        <v>6925.23</v>
      </c>
      <c r="AK57" s="24">
        <v>6992.18</v>
      </c>
      <c r="AL57" s="24">
        <v>7067.64</v>
      </c>
      <c r="AM57" s="77">
        <v>7067.64</v>
      </c>
      <c r="AN57" s="77">
        <v>7067.64</v>
      </c>
      <c r="AO57" s="24">
        <v>7154.3</v>
      </c>
      <c r="AP57" s="24">
        <v>7285.71</v>
      </c>
      <c r="AQ57" s="24">
        <v>7449.87</v>
      </c>
      <c r="AR57" s="24">
        <v>7656.81</v>
      </c>
      <c r="AS57" s="24">
        <v>7812.25</v>
      </c>
      <c r="AT57" s="24">
        <v>7930.14</v>
      </c>
    </row>
    <row r="58" spans="1:46" ht="17" thickBot="1">
      <c r="A58" s="27">
        <v>32</v>
      </c>
      <c r="B58" s="79" t="s">
        <v>82</v>
      </c>
      <c r="C58" s="32">
        <f t="shared" si="2"/>
        <v>10762.83</v>
      </c>
      <c r="D58" s="32">
        <f t="shared" si="3"/>
        <v>10736</v>
      </c>
      <c r="E58" s="110">
        <v>-305.71999999999991</v>
      </c>
      <c r="F58" s="137">
        <v>1000</v>
      </c>
      <c r="G58" s="72">
        <v>34</v>
      </c>
      <c r="H58" s="29">
        <v>9293.42</v>
      </c>
      <c r="I58" s="43">
        <v>9438.66</v>
      </c>
      <c r="J58" s="43">
        <v>9646.89</v>
      </c>
      <c r="K58" s="43">
        <v>9661.09</v>
      </c>
      <c r="L58" s="43">
        <v>9674.4699999999993</v>
      </c>
      <c r="M58" s="43">
        <v>9697.68</v>
      </c>
      <c r="N58" s="43">
        <v>9697.75</v>
      </c>
      <c r="O58" s="43">
        <v>9697.81</v>
      </c>
      <c r="P58" s="43">
        <v>9697.9599999999991</v>
      </c>
      <c r="Q58" s="43">
        <v>9698.81</v>
      </c>
      <c r="R58" s="43">
        <v>9701.17</v>
      </c>
      <c r="S58" s="77">
        <v>9701.17</v>
      </c>
      <c r="T58" s="77">
        <v>9701.17</v>
      </c>
      <c r="U58" s="43">
        <v>9740.8799999999992</v>
      </c>
      <c r="V58" s="43">
        <v>9917.0400000000009</v>
      </c>
      <c r="W58" s="43">
        <v>10111.59</v>
      </c>
      <c r="X58" s="43">
        <v>10167.129999999999</v>
      </c>
      <c r="Y58" s="43">
        <v>10212.549999999999</v>
      </c>
      <c r="Z58" s="106">
        <v>10223.39</v>
      </c>
      <c r="AA58" s="106">
        <v>10228.1</v>
      </c>
      <c r="AB58" s="106">
        <v>10232.290000000001</v>
      </c>
      <c r="AC58" s="106">
        <v>10236.459999999999</v>
      </c>
      <c r="AD58" s="106">
        <v>10240.56</v>
      </c>
      <c r="AE58" s="106">
        <v>10244.969999999999</v>
      </c>
      <c r="AF58" s="106">
        <v>10263.33</v>
      </c>
      <c r="AG58" s="106">
        <v>10283.69</v>
      </c>
      <c r="AH58" s="106">
        <v>10337.84</v>
      </c>
      <c r="AI58" s="106">
        <v>10424.629999999999</v>
      </c>
      <c r="AJ58" s="106">
        <v>10536.23</v>
      </c>
      <c r="AK58" s="24">
        <v>10586.61</v>
      </c>
      <c r="AL58" s="24">
        <v>10621.76</v>
      </c>
      <c r="AM58" s="77">
        <v>10621.76</v>
      </c>
      <c r="AN58" s="77">
        <v>10621.76</v>
      </c>
      <c r="AO58" s="24">
        <v>10644.55</v>
      </c>
      <c r="AP58" s="24">
        <v>10666.17</v>
      </c>
      <c r="AQ58" s="24">
        <v>10686.85</v>
      </c>
      <c r="AR58" s="24">
        <v>10713.66</v>
      </c>
      <c r="AS58" s="24">
        <v>10736</v>
      </c>
      <c r="AT58" s="24">
        <v>10762.83</v>
      </c>
    </row>
    <row r="59" spans="1:46" ht="17" thickBot="1">
      <c r="A59" s="27">
        <v>32</v>
      </c>
      <c r="B59" s="82" t="s">
        <v>82</v>
      </c>
      <c r="C59" s="32">
        <f t="shared" si="2"/>
        <v>5317.06</v>
      </c>
      <c r="D59" s="32">
        <f t="shared" si="3"/>
        <v>5297.51</v>
      </c>
      <c r="E59" s="78"/>
      <c r="F59" s="86"/>
      <c r="G59" s="72">
        <v>34</v>
      </c>
      <c r="H59" s="29">
        <v>3937.09</v>
      </c>
      <c r="I59" s="43">
        <v>4008.74</v>
      </c>
      <c r="J59" s="43">
        <v>4118.9799999999996</v>
      </c>
      <c r="K59" s="43">
        <v>4118.9799999999996</v>
      </c>
      <c r="L59" s="43">
        <v>4123.63</v>
      </c>
      <c r="M59" s="43">
        <v>4133.3100000000004</v>
      </c>
      <c r="N59" s="43">
        <v>4133.3100000000004</v>
      </c>
      <c r="O59" s="43">
        <v>4133.3100000000004</v>
      </c>
      <c r="P59" s="43">
        <v>4133.3100000000004</v>
      </c>
      <c r="Q59" s="43">
        <v>4133.3100000000004</v>
      </c>
      <c r="R59" s="43">
        <v>4133.3100000000004</v>
      </c>
      <c r="S59" s="77">
        <v>4133.3100000000004</v>
      </c>
      <c r="T59" s="77">
        <v>4133.3100000000004</v>
      </c>
      <c r="U59" s="43">
        <v>4148.01</v>
      </c>
      <c r="V59" s="43">
        <v>4236.2700000000004</v>
      </c>
      <c r="W59" s="43">
        <v>4341.54</v>
      </c>
      <c r="X59" s="43">
        <v>4489.09</v>
      </c>
      <c r="Y59" s="43">
        <v>4630.6899999999996</v>
      </c>
      <c r="Z59" s="106">
        <v>4671.1099999999997</v>
      </c>
      <c r="AA59" s="106">
        <v>4673.54</v>
      </c>
      <c r="AB59" s="106">
        <v>4675.71</v>
      </c>
      <c r="AC59" s="106">
        <v>4677.68</v>
      </c>
      <c r="AD59" s="106">
        <v>4679.68</v>
      </c>
      <c r="AE59" s="106">
        <v>4681.7700000000004</v>
      </c>
      <c r="AF59" s="106">
        <v>4712.21</v>
      </c>
      <c r="AG59" s="106">
        <v>4804.0600000000004</v>
      </c>
      <c r="AH59" s="106">
        <v>4875.92</v>
      </c>
      <c r="AI59" s="106">
        <v>4959.41</v>
      </c>
      <c r="AJ59" s="106">
        <v>5051.3999999999996</v>
      </c>
      <c r="AK59" s="24">
        <v>5139.5</v>
      </c>
      <c r="AL59" s="24">
        <v>5225.22</v>
      </c>
      <c r="AM59" s="77">
        <v>5225.22</v>
      </c>
      <c r="AN59" s="77">
        <v>5225.22</v>
      </c>
      <c r="AO59" s="24">
        <v>5257.11</v>
      </c>
      <c r="AP59" s="24">
        <v>5267.28</v>
      </c>
      <c r="AQ59" s="24">
        <v>5276.79</v>
      </c>
      <c r="AR59" s="24">
        <v>5286.98</v>
      </c>
      <c r="AS59" s="24">
        <v>5297.51</v>
      </c>
      <c r="AT59" s="24">
        <v>5317.06</v>
      </c>
    </row>
    <row r="60" spans="1:46" ht="17" thickBot="1">
      <c r="A60" s="27">
        <v>33</v>
      </c>
      <c r="B60" s="79" t="s">
        <v>83</v>
      </c>
      <c r="C60" s="32">
        <f t="shared" si="2"/>
        <v>18131.82</v>
      </c>
      <c r="D60" s="32">
        <f t="shared" si="3"/>
        <v>17867.330000000002</v>
      </c>
      <c r="E60" s="110">
        <v>2444.6499999999996</v>
      </c>
      <c r="F60" s="137">
        <v>2000</v>
      </c>
      <c r="G60" s="72" t="s">
        <v>26</v>
      </c>
      <c r="H60" s="29">
        <v>9854.91</v>
      </c>
      <c r="I60" s="43">
        <v>10002.01</v>
      </c>
      <c r="J60" s="43">
        <v>10165.86</v>
      </c>
      <c r="K60" s="43">
        <v>10323.98</v>
      </c>
      <c r="L60" s="43">
        <v>10468.75</v>
      </c>
      <c r="M60" s="43">
        <v>10642.28</v>
      </c>
      <c r="N60" s="43">
        <v>10802.17</v>
      </c>
      <c r="O60" s="43">
        <v>11004.55</v>
      </c>
      <c r="P60" s="43">
        <v>11238.33</v>
      </c>
      <c r="Q60" s="43">
        <v>11513.43</v>
      </c>
      <c r="R60" s="43">
        <v>11727.38</v>
      </c>
      <c r="S60" s="77">
        <v>11727.38</v>
      </c>
      <c r="T60" s="77">
        <v>11727.38</v>
      </c>
      <c r="U60" s="43">
        <v>11972.01</v>
      </c>
      <c r="V60" s="43">
        <v>12153.09</v>
      </c>
      <c r="W60" s="43">
        <v>12365.48</v>
      </c>
      <c r="X60" s="43">
        <v>12580.7</v>
      </c>
      <c r="Y60" s="43">
        <v>12766.99</v>
      </c>
      <c r="Z60" s="106">
        <v>12970.11</v>
      </c>
      <c r="AA60" s="106">
        <v>13129.89</v>
      </c>
      <c r="AB60" s="106">
        <v>13359.92</v>
      </c>
      <c r="AC60" s="106">
        <v>13614.29</v>
      </c>
      <c r="AD60" s="106">
        <v>14013.02</v>
      </c>
      <c r="AE60" s="106">
        <v>14358.81</v>
      </c>
      <c r="AF60" s="106">
        <v>14611.02</v>
      </c>
      <c r="AG60" s="106">
        <v>14891.3</v>
      </c>
      <c r="AH60" s="106">
        <v>15156.52</v>
      </c>
      <c r="AI60" s="106">
        <v>15430.6</v>
      </c>
      <c r="AJ60" s="106">
        <v>15712.78</v>
      </c>
      <c r="AK60" s="24">
        <v>15981.03</v>
      </c>
      <c r="AL60" s="24">
        <v>16257.13</v>
      </c>
      <c r="AM60" s="77">
        <v>16257.13</v>
      </c>
      <c r="AN60" s="77">
        <v>16257.13</v>
      </c>
      <c r="AO60" s="24">
        <v>16504.66</v>
      </c>
      <c r="AP60" s="24">
        <v>16804.189999999999</v>
      </c>
      <c r="AQ60" s="24">
        <v>17158.93</v>
      </c>
      <c r="AR60" s="24">
        <v>17543.97</v>
      </c>
      <c r="AS60" s="24">
        <v>17867.330000000002</v>
      </c>
      <c r="AT60" s="24">
        <v>18131.82</v>
      </c>
    </row>
    <row r="61" spans="1:46" ht="17" thickBot="1">
      <c r="A61" s="27">
        <v>33</v>
      </c>
      <c r="B61" s="82" t="s">
        <v>83</v>
      </c>
      <c r="C61" s="32">
        <f t="shared" si="2"/>
        <v>6382.58</v>
      </c>
      <c r="D61" s="32">
        <f t="shared" si="3"/>
        <v>6251.39</v>
      </c>
      <c r="E61" s="78"/>
      <c r="F61" s="86"/>
      <c r="G61" s="72" t="s">
        <v>26</v>
      </c>
      <c r="H61" s="29">
        <v>3200.93</v>
      </c>
      <c r="I61" s="43">
        <v>3267.48</v>
      </c>
      <c r="J61" s="43">
        <v>3324.93</v>
      </c>
      <c r="K61" s="43">
        <v>3378.67</v>
      </c>
      <c r="L61" s="43">
        <v>3438.8</v>
      </c>
      <c r="M61" s="43">
        <v>3502.43</v>
      </c>
      <c r="N61" s="43">
        <v>3553.95</v>
      </c>
      <c r="O61" s="43">
        <v>3627.44</v>
      </c>
      <c r="P61" s="43">
        <v>3715.29</v>
      </c>
      <c r="Q61" s="43">
        <v>3785.54</v>
      </c>
      <c r="R61" s="43">
        <v>3845.22</v>
      </c>
      <c r="S61" s="77">
        <v>3845.22</v>
      </c>
      <c r="T61" s="77">
        <v>3845.22</v>
      </c>
      <c r="U61" s="43">
        <v>3926.17</v>
      </c>
      <c r="V61" s="43">
        <v>3999.1</v>
      </c>
      <c r="W61" s="43">
        <v>4092.45</v>
      </c>
      <c r="X61" s="43">
        <v>4179.2</v>
      </c>
      <c r="Y61" s="43">
        <v>4263.2</v>
      </c>
      <c r="Z61" s="106">
        <v>4336.3100000000004</v>
      </c>
      <c r="AA61" s="106">
        <v>4408.4799999999996</v>
      </c>
      <c r="AB61" s="106">
        <v>4498.29</v>
      </c>
      <c r="AC61" s="106">
        <v>4615.72</v>
      </c>
      <c r="AD61" s="106">
        <v>4790.3900000000003</v>
      </c>
      <c r="AE61" s="106">
        <v>4888.84</v>
      </c>
      <c r="AF61" s="106">
        <v>4984.37</v>
      </c>
      <c r="AG61" s="106">
        <v>5101.9399999999996</v>
      </c>
      <c r="AH61" s="106">
        <v>5214.47</v>
      </c>
      <c r="AI61" s="106">
        <v>5335.69</v>
      </c>
      <c r="AJ61" s="106">
        <v>5443.81</v>
      </c>
      <c r="AK61" s="24">
        <v>5555.84</v>
      </c>
      <c r="AL61" s="24">
        <v>5669.59</v>
      </c>
      <c r="AM61" s="77">
        <v>5669.59</v>
      </c>
      <c r="AN61" s="77">
        <v>5669.59</v>
      </c>
      <c r="AO61" s="24">
        <v>5768.88</v>
      </c>
      <c r="AP61" s="24">
        <v>5859.28</v>
      </c>
      <c r="AQ61" s="24">
        <v>5959.66</v>
      </c>
      <c r="AR61" s="24">
        <v>6122.38</v>
      </c>
      <c r="AS61" s="24">
        <v>6251.39</v>
      </c>
      <c r="AT61" s="24">
        <v>6382.58</v>
      </c>
    </row>
    <row r="62" spans="1:46" ht="17" thickBot="1">
      <c r="A62" s="27">
        <v>34</v>
      </c>
      <c r="B62" s="79" t="s">
        <v>84</v>
      </c>
      <c r="C62" s="32">
        <f t="shared" si="2"/>
        <v>22495.56</v>
      </c>
      <c r="D62" s="32">
        <f t="shared" si="3"/>
        <v>22212.48</v>
      </c>
      <c r="E62" s="112">
        <v>2131.5500000000002</v>
      </c>
      <c r="F62" s="137">
        <v>2200</v>
      </c>
      <c r="G62" s="72">
        <v>37</v>
      </c>
      <c r="H62" s="29">
        <v>8501.91</v>
      </c>
      <c r="I62" s="80">
        <v>8999.56</v>
      </c>
      <c r="J62" s="43">
        <v>9467.14</v>
      </c>
      <c r="K62" s="43">
        <v>9848.3799999999992</v>
      </c>
      <c r="L62" s="43">
        <v>10149.049999999999</v>
      </c>
      <c r="M62" s="43">
        <v>10518.76</v>
      </c>
      <c r="N62" s="43">
        <v>10862.84</v>
      </c>
      <c r="O62" s="43">
        <v>11333.99</v>
      </c>
      <c r="P62" s="43">
        <v>12052.47</v>
      </c>
      <c r="Q62" s="43">
        <v>12531.62</v>
      </c>
      <c r="R62" s="43">
        <v>12859.26</v>
      </c>
      <c r="S62" s="77">
        <v>12859.26</v>
      </c>
      <c r="T62" s="77">
        <v>12859.26</v>
      </c>
      <c r="U62" s="43">
        <v>13257.55</v>
      </c>
      <c r="V62" s="43">
        <v>13710.2</v>
      </c>
      <c r="W62" s="43">
        <v>14163.22</v>
      </c>
      <c r="X62" s="43">
        <v>14633.37</v>
      </c>
      <c r="Y62" s="43">
        <v>15192.82</v>
      </c>
      <c r="Z62" s="106">
        <v>15591.09</v>
      </c>
      <c r="AA62" s="106">
        <v>15866.66</v>
      </c>
      <c r="AB62" s="106">
        <v>16227.09</v>
      </c>
      <c r="AC62" s="106">
        <v>16835.95</v>
      </c>
      <c r="AD62" s="106">
        <v>17423.490000000002</v>
      </c>
      <c r="AE62" s="106">
        <v>17849.310000000001</v>
      </c>
      <c r="AF62" s="106">
        <v>18102.88</v>
      </c>
      <c r="AG62" s="106">
        <v>18388.04</v>
      </c>
      <c r="AH62" s="106">
        <v>18727.189999999999</v>
      </c>
      <c r="AI62" s="106">
        <v>19059.82</v>
      </c>
      <c r="AJ62" s="106">
        <v>19406.89</v>
      </c>
      <c r="AK62" s="24">
        <v>19712.71</v>
      </c>
      <c r="AL62" s="24">
        <v>20022.73</v>
      </c>
      <c r="AM62" s="77">
        <v>20022.73</v>
      </c>
      <c r="AN62" s="77">
        <v>20022.73</v>
      </c>
      <c r="AO62" s="24">
        <v>20327.28</v>
      </c>
      <c r="AP62" s="24">
        <v>20574.32</v>
      </c>
      <c r="AQ62" s="24">
        <v>21253.57</v>
      </c>
      <c r="AR62" s="24">
        <v>21889.3</v>
      </c>
      <c r="AS62" s="24">
        <v>22212.48</v>
      </c>
      <c r="AT62" s="24">
        <v>22495.56</v>
      </c>
    </row>
    <row r="63" spans="1:46" ht="17" thickBot="1">
      <c r="A63" s="27">
        <v>34</v>
      </c>
      <c r="B63" s="82" t="s">
        <v>84</v>
      </c>
      <c r="C63" s="32">
        <f t="shared" si="2"/>
        <v>7614.4</v>
      </c>
      <c r="D63" s="32">
        <f t="shared" si="3"/>
        <v>7484.31</v>
      </c>
      <c r="E63" s="78"/>
      <c r="F63" s="86"/>
      <c r="G63" s="72">
        <v>37</v>
      </c>
      <c r="H63" s="29">
        <v>2078.66</v>
      </c>
      <c r="I63" s="80">
        <v>2271.19</v>
      </c>
      <c r="J63" s="43">
        <v>2451.7719999999999</v>
      </c>
      <c r="K63" s="43">
        <v>2606.56</v>
      </c>
      <c r="L63" s="43">
        <v>2757.32</v>
      </c>
      <c r="M63" s="43">
        <v>2896.47</v>
      </c>
      <c r="N63" s="43">
        <v>3026.72</v>
      </c>
      <c r="O63" s="43">
        <v>3183.4</v>
      </c>
      <c r="P63" s="43">
        <v>3468.9</v>
      </c>
      <c r="Q63" s="43">
        <v>3681.51</v>
      </c>
      <c r="R63" s="43">
        <v>3806.5</v>
      </c>
      <c r="S63" s="77">
        <v>3806.5</v>
      </c>
      <c r="T63" s="77">
        <v>3806.5</v>
      </c>
      <c r="U63" s="43">
        <v>3953.85</v>
      </c>
      <c r="V63" s="43">
        <v>4141.32</v>
      </c>
      <c r="W63" s="43">
        <v>4339.46</v>
      </c>
      <c r="X63" s="43">
        <v>4547.26</v>
      </c>
      <c r="Y63" s="43">
        <v>4775.55</v>
      </c>
      <c r="Z63" s="106">
        <v>4945.88</v>
      </c>
      <c r="AA63" s="106">
        <v>5081.49</v>
      </c>
      <c r="AB63" s="106">
        <v>5214.25</v>
      </c>
      <c r="AC63" s="106">
        <v>5377.11</v>
      </c>
      <c r="AD63" s="106">
        <v>5546.44</v>
      </c>
      <c r="AE63" s="106">
        <v>5654.81</v>
      </c>
      <c r="AF63" s="106">
        <v>5760.17</v>
      </c>
      <c r="AG63" s="106">
        <v>5888.63</v>
      </c>
      <c r="AH63" s="106">
        <v>6033.26</v>
      </c>
      <c r="AI63" s="106">
        <v>6176.95</v>
      </c>
      <c r="AJ63" s="106">
        <v>6326.59</v>
      </c>
      <c r="AK63" s="24">
        <v>6464.61</v>
      </c>
      <c r="AL63" s="24">
        <v>6608.65</v>
      </c>
      <c r="AM63" s="77">
        <v>6608.65</v>
      </c>
      <c r="AN63" s="77">
        <v>6608.65</v>
      </c>
      <c r="AO63" s="24">
        <v>6743.8</v>
      </c>
      <c r="AP63" s="24">
        <v>6833.47</v>
      </c>
      <c r="AQ63" s="24">
        <v>7103.12</v>
      </c>
      <c r="AR63" s="24">
        <v>7380.4</v>
      </c>
      <c r="AS63" s="24">
        <v>7484.31</v>
      </c>
      <c r="AT63" s="24">
        <v>7614.4</v>
      </c>
    </row>
    <row r="64" spans="1:46" ht="17" thickBot="1">
      <c r="A64" s="27">
        <v>35</v>
      </c>
      <c r="B64" s="79" t="s">
        <v>85</v>
      </c>
      <c r="C64" s="32">
        <f t="shared" si="2"/>
        <v>21462.44</v>
      </c>
      <c r="D64" s="32">
        <f t="shared" si="3"/>
        <v>21263.32</v>
      </c>
      <c r="E64" s="112">
        <v>2110.4499999999998</v>
      </c>
      <c r="F64" s="137">
        <v>2110.4499999999998</v>
      </c>
      <c r="G64" s="72">
        <v>29</v>
      </c>
      <c r="H64" s="29">
        <v>12169.66</v>
      </c>
      <c r="I64" s="80">
        <v>12438.53</v>
      </c>
      <c r="J64" s="43">
        <v>12706.54</v>
      </c>
      <c r="K64" s="43">
        <v>12929.2</v>
      </c>
      <c r="L64" s="43">
        <v>13155.25</v>
      </c>
      <c r="M64" s="43">
        <v>13339.3</v>
      </c>
      <c r="N64" s="43">
        <v>13563.16</v>
      </c>
      <c r="O64" s="43">
        <v>13931.79</v>
      </c>
      <c r="P64" s="43">
        <v>14325.61</v>
      </c>
      <c r="Q64" s="43">
        <v>14585.72</v>
      </c>
      <c r="R64" s="43">
        <v>14763.74</v>
      </c>
      <c r="S64" s="77">
        <v>14763.74</v>
      </c>
      <c r="T64" s="77">
        <v>14763.74</v>
      </c>
      <c r="U64" s="43">
        <v>14952.85</v>
      </c>
      <c r="V64" s="43">
        <v>15136.25</v>
      </c>
      <c r="W64" s="43">
        <v>15336.87</v>
      </c>
      <c r="X64" s="43">
        <v>15539.69</v>
      </c>
      <c r="Y64" s="43">
        <v>15725.25</v>
      </c>
      <c r="Z64" s="106">
        <v>15964.64</v>
      </c>
      <c r="AA64" s="106">
        <v>16164.7</v>
      </c>
      <c r="AB64" s="106">
        <v>16540.16</v>
      </c>
      <c r="AC64" s="106">
        <v>17112.080000000002</v>
      </c>
      <c r="AD64" s="106">
        <v>17575.48</v>
      </c>
      <c r="AE64" s="106">
        <v>17883.43</v>
      </c>
      <c r="AF64" s="106">
        <v>18042.66</v>
      </c>
      <c r="AG64" s="106">
        <v>18233.259999999998</v>
      </c>
      <c r="AH64" s="106">
        <v>18431.52</v>
      </c>
      <c r="AI64" s="106">
        <v>18661.53</v>
      </c>
      <c r="AJ64" s="106">
        <v>18912.5</v>
      </c>
      <c r="AK64" s="24">
        <v>19128.8</v>
      </c>
      <c r="AL64" s="24">
        <v>19362.099999999999</v>
      </c>
      <c r="AM64" s="77">
        <v>19362.099999999999</v>
      </c>
      <c r="AN64" s="77">
        <v>19362.099999999999</v>
      </c>
      <c r="AO64" s="24">
        <v>19577.62</v>
      </c>
      <c r="AP64" s="24">
        <v>19941.849999999999</v>
      </c>
      <c r="AQ64" s="24">
        <v>20422.310000000001</v>
      </c>
      <c r="AR64" s="24">
        <v>20926.990000000002</v>
      </c>
      <c r="AS64" s="24">
        <v>21263.32</v>
      </c>
      <c r="AT64" s="24">
        <v>21462.44</v>
      </c>
    </row>
    <row r="65" spans="1:64" ht="17" thickBot="1">
      <c r="A65" s="27">
        <v>35</v>
      </c>
      <c r="B65" s="82" t="s">
        <v>85</v>
      </c>
      <c r="C65" s="32">
        <f t="shared" si="2"/>
        <v>7484.82</v>
      </c>
      <c r="D65" s="32">
        <f t="shared" si="3"/>
        <v>7435.34</v>
      </c>
      <c r="E65" s="78"/>
      <c r="F65" s="86"/>
      <c r="G65" s="72">
        <v>29</v>
      </c>
      <c r="H65" s="29">
        <v>4031.84</v>
      </c>
      <c r="I65" s="80">
        <v>4136.22</v>
      </c>
      <c r="J65" s="43">
        <v>4237.97</v>
      </c>
      <c r="K65" s="43">
        <v>4325.0200000000004</v>
      </c>
      <c r="L65" s="43">
        <v>4411.55</v>
      </c>
      <c r="M65" s="43">
        <v>4474</v>
      </c>
      <c r="N65" s="43">
        <v>4547.38</v>
      </c>
      <c r="O65" s="43">
        <v>4751.51</v>
      </c>
      <c r="P65" s="43">
        <v>4957.05</v>
      </c>
      <c r="Q65" s="43">
        <v>5072.78</v>
      </c>
      <c r="R65" s="43">
        <v>5132.3900000000003</v>
      </c>
      <c r="S65" s="77">
        <v>5132.3900000000003</v>
      </c>
      <c r="T65" s="77">
        <v>5132.3900000000003</v>
      </c>
      <c r="U65" s="43">
        <v>5212.26</v>
      </c>
      <c r="V65" s="43">
        <v>5295.23</v>
      </c>
      <c r="W65" s="43">
        <v>5382.5</v>
      </c>
      <c r="X65" s="43">
        <v>5470.16</v>
      </c>
      <c r="Y65" s="43">
        <v>5549.69</v>
      </c>
      <c r="Z65" s="106">
        <v>5635.62</v>
      </c>
      <c r="AA65" s="106">
        <v>5708.2</v>
      </c>
      <c r="AB65" s="106">
        <v>5849.61</v>
      </c>
      <c r="AC65" s="106">
        <v>6092.18</v>
      </c>
      <c r="AD65" s="106">
        <v>6337.69</v>
      </c>
      <c r="AE65" s="106">
        <v>6464.43</v>
      </c>
      <c r="AF65" s="106">
        <v>6517.29</v>
      </c>
      <c r="AG65" s="106">
        <v>6590.46</v>
      </c>
      <c r="AH65" s="106">
        <v>6666.73</v>
      </c>
      <c r="AI65" s="106">
        <v>6742.81</v>
      </c>
      <c r="AJ65" s="106">
        <v>6824.14</v>
      </c>
      <c r="AK65" s="24">
        <v>6890.34</v>
      </c>
      <c r="AL65" s="24">
        <v>6960.51</v>
      </c>
      <c r="AM65" s="77">
        <v>6960.51</v>
      </c>
      <c r="AN65" s="77">
        <v>6960.51</v>
      </c>
      <c r="AO65" s="24">
        <v>7012.49</v>
      </c>
      <c r="AP65" s="24">
        <v>7111.36</v>
      </c>
      <c r="AQ65" s="24">
        <v>7212.31</v>
      </c>
      <c r="AR65" s="24">
        <v>7354.2</v>
      </c>
      <c r="AS65" s="24">
        <v>7435.34</v>
      </c>
      <c r="AT65" s="24">
        <v>7484.82</v>
      </c>
    </row>
    <row r="66" spans="1:64" ht="17" thickBot="1">
      <c r="A66" s="27">
        <v>36</v>
      </c>
      <c r="B66" s="113" t="s">
        <v>96</v>
      </c>
      <c r="C66" s="32">
        <f t="shared" ref="C66:C83" si="4">INDEX($H66:$IV66,1,COUNTA($H66:$IV66))</f>
        <v>16209.5</v>
      </c>
      <c r="D66" s="32">
        <f t="shared" ref="D66:D83" si="5">INDEX($H66:$IV66,1,COUNTA($H66:$IV66)-1)</f>
        <v>16030.3</v>
      </c>
      <c r="E66" s="111">
        <v>1021.6700000000001</v>
      </c>
      <c r="F66" s="137">
        <v>1050</v>
      </c>
      <c r="G66" s="72" t="s">
        <v>25</v>
      </c>
      <c r="H66" s="29">
        <v>9263.7999999999993</v>
      </c>
      <c r="I66" s="43">
        <v>9488.5</v>
      </c>
      <c r="J66" s="43">
        <v>9687.5</v>
      </c>
      <c r="K66" s="43">
        <v>9858</v>
      </c>
      <c r="L66" s="43">
        <v>10048.1</v>
      </c>
      <c r="M66" s="43">
        <v>10219.299999999999</v>
      </c>
      <c r="N66" s="43">
        <v>10369.200000000001</v>
      </c>
      <c r="O66" s="43">
        <v>10512</v>
      </c>
      <c r="P66" s="43">
        <v>10640</v>
      </c>
      <c r="Q66" s="43">
        <v>10772</v>
      </c>
      <c r="R66" s="43">
        <v>10908.1</v>
      </c>
      <c r="S66" s="77">
        <v>10908.1</v>
      </c>
      <c r="T66" s="77">
        <v>10908.1</v>
      </c>
      <c r="U66" s="43">
        <v>11053.1</v>
      </c>
      <c r="V66" s="43">
        <v>11218.1</v>
      </c>
      <c r="W66" s="43">
        <v>11493.7</v>
      </c>
      <c r="X66" s="43">
        <v>11757.6</v>
      </c>
      <c r="Y66" s="43">
        <v>11974.5</v>
      </c>
      <c r="Z66" s="106">
        <v>12164.3</v>
      </c>
      <c r="AA66" s="106">
        <v>12323.8</v>
      </c>
      <c r="AB66" s="106">
        <v>12515.2</v>
      </c>
      <c r="AC66" s="106">
        <v>12838.6</v>
      </c>
      <c r="AD66" s="106">
        <v>13118.3</v>
      </c>
      <c r="AE66" s="106">
        <v>13360.5</v>
      </c>
      <c r="AF66" s="106">
        <v>13528.4</v>
      </c>
      <c r="AG66" s="106">
        <v>13735.1</v>
      </c>
      <c r="AH66" s="106">
        <v>13962</v>
      </c>
      <c r="AI66" s="106">
        <v>14190.2</v>
      </c>
      <c r="AJ66" s="106">
        <v>14423</v>
      </c>
      <c r="AK66" s="24">
        <v>14618.9</v>
      </c>
      <c r="AL66" s="24">
        <v>14849.7</v>
      </c>
      <c r="AM66" s="77">
        <v>14849.7</v>
      </c>
      <c r="AN66" s="77">
        <v>14849.7</v>
      </c>
      <c r="AO66" s="24">
        <v>15036.69</v>
      </c>
      <c r="AP66" s="24">
        <v>15205.5</v>
      </c>
      <c r="AQ66" s="24">
        <v>15461.9</v>
      </c>
      <c r="AR66" s="24">
        <v>15828</v>
      </c>
      <c r="AS66" s="24">
        <v>16030.3</v>
      </c>
      <c r="AT66" s="24">
        <v>16209.5</v>
      </c>
    </row>
    <row r="67" spans="1:64" ht="17" thickBot="1">
      <c r="A67" s="27">
        <v>37</v>
      </c>
      <c r="B67" s="79" t="s">
        <v>86</v>
      </c>
      <c r="C67" s="32">
        <f t="shared" si="4"/>
        <v>15175.6</v>
      </c>
      <c r="D67" s="32">
        <f t="shared" si="5"/>
        <v>14990.73</v>
      </c>
      <c r="E67" s="78">
        <v>3060.6</v>
      </c>
      <c r="F67" s="129"/>
      <c r="G67" s="72">
        <v>30</v>
      </c>
      <c r="H67" s="29">
        <v>9145.49</v>
      </c>
      <c r="I67" s="80">
        <v>9371.98</v>
      </c>
      <c r="J67" s="43">
        <v>9569.0400000000009</v>
      </c>
      <c r="K67" s="43">
        <v>9732.1200000000008</v>
      </c>
      <c r="L67" s="43">
        <v>9908.39</v>
      </c>
      <c r="M67" s="43">
        <v>10085.06</v>
      </c>
      <c r="N67" s="43">
        <v>10232.02</v>
      </c>
      <c r="O67" s="43">
        <v>10374.75</v>
      </c>
      <c r="P67" s="43">
        <v>10522.43</v>
      </c>
      <c r="Q67" s="43">
        <v>10689</v>
      </c>
      <c r="R67" s="43">
        <v>10854.8</v>
      </c>
      <c r="S67" s="77">
        <v>10854.8</v>
      </c>
      <c r="T67" s="77">
        <v>10854.8</v>
      </c>
      <c r="U67" s="43">
        <v>11028.15</v>
      </c>
      <c r="V67" s="43">
        <v>11227.78</v>
      </c>
      <c r="W67" s="43">
        <v>11442.14</v>
      </c>
      <c r="X67" s="43">
        <v>11638.52</v>
      </c>
      <c r="Y67" s="43">
        <v>11841.1</v>
      </c>
      <c r="Z67" s="106">
        <v>12022.59</v>
      </c>
      <c r="AA67" s="106">
        <v>12187.05</v>
      </c>
      <c r="AB67" s="106">
        <v>12335.52</v>
      </c>
      <c r="AC67" s="43">
        <v>12485.34</v>
      </c>
      <c r="AD67" s="43">
        <v>12636.7</v>
      </c>
      <c r="AE67" s="43">
        <v>12825.13</v>
      </c>
      <c r="AF67" s="43">
        <v>12990.76</v>
      </c>
      <c r="AG67" s="43">
        <v>13175.73</v>
      </c>
      <c r="AH67" s="43">
        <v>13440.01</v>
      </c>
      <c r="AI67" s="43">
        <v>13629.42</v>
      </c>
      <c r="AJ67" s="43">
        <v>13833.21</v>
      </c>
      <c r="AK67" s="24">
        <v>14004.89</v>
      </c>
      <c r="AL67" s="24">
        <v>14188.94</v>
      </c>
      <c r="AM67" s="77">
        <v>14188.94</v>
      </c>
      <c r="AN67" s="77">
        <v>14188.94</v>
      </c>
      <c r="AO67" s="24">
        <v>14374.48</v>
      </c>
      <c r="AP67" s="24">
        <v>14511.14</v>
      </c>
      <c r="AQ67" s="24">
        <v>14655.75</v>
      </c>
      <c r="AR67" s="24">
        <v>14832.3</v>
      </c>
      <c r="AS67" s="24">
        <v>14990.73</v>
      </c>
      <c r="AT67" s="24">
        <v>15175.6</v>
      </c>
    </row>
    <row r="68" spans="1:64" ht="17" thickBot="1">
      <c r="A68" s="27">
        <v>37</v>
      </c>
      <c r="B68" s="82" t="s">
        <v>86</v>
      </c>
      <c r="C68" s="32">
        <f t="shared" si="4"/>
        <v>4986.12</v>
      </c>
      <c r="D68" s="32">
        <f t="shared" si="5"/>
        <v>4931.53</v>
      </c>
      <c r="F68" s="86"/>
      <c r="G68" s="72">
        <v>30</v>
      </c>
      <c r="H68" s="29">
        <v>2936.14</v>
      </c>
      <c r="I68" s="43">
        <v>3007.36</v>
      </c>
      <c r="J68" s="43">
        <v>3072.34</v>
      </c>
      <c r="K68" s="43">
        <v>3128.97</v>
      </c>
      <c r="L68" s="43">
        <v>3192.37</v>
      </c>
      <c r="M68" s="43">
        <v>3257.58</v>
      </c>
      <c r="N68" s="43">
        <v>3313.22</v>
      </c>
      <c r="O68" s="43">
        <v>3362.88</v>
      </c>
      <c r="P68" s="43">
        <v>3414.49</v>
      </c>
      <c r="Q68" s="43">
        <v>3466.61</v>
      </c>
      <c r="R68" s="43">
        <v>3518.09</v>
      </c>
      <c r="S68" s="77">
        <v>3518.09</v>
      </c>
      <c r="T68" s="77">
        <v>3518.09</v>
      </c>
      <c r="U68" s="43">
        <v>3577.48</v>
      </c>
      <c r="V68" s="43">
        <v>3641.42</v>
      </c>
      <c r="W68" s="43">
        <v>3718.38</v>
      </c>
      <c r="X68" s="43">
        <v>3786.28</v>
      </c>
      <c r="Y68" s="43">
        <v>3855.3</v>
      </c>
      <c r="Z68" s="106">
        <v>3923.62</v>
      </c>
      <c r="AA68" s="106">
        <v>3982.84</v>
      </c>
      <c r="AB68" s="106">
        <v>4031.54</v>
      </c>
      <c r="AC68" s="106">
        <v>4088.5</v>
      </c>
      <c r="AD68" s="106">
        <v>4146.91</v>
      </c>
      <c r="AE68" s="106">
        <v>4195.87</v>
      </c>
      <c r="AF68" s="106">
        <v>4245.8</v>
      </c>
      <c r="AG68" s="106">
        <v>4319.58</v>
      </c>
      <c r="AH68" s="106">
        <v>4387.5</v>
      </c>
      <c r="AI68" s="106">
        <v>4458.16</v>
      </c>
      <c r="AJ68" s="106">
        <v>4531.93</v>
      </c>
      <c r="AK68" s="24">
        <v>4597.21</v>
      </c>
      <c r="AL68" s="24">
        <v>4668.66</v>
      </c>
      <c r="AM68" s="77">
        <v>4668.66</v>
      </c>
      <c r="AN68" s="77">
        <v>4668.66</v>
      </c>
      <c r="AO68" s="24">
        <v>4733.37</v>
      </c>
      <c r="AP68" s="24">
        <v>4775.6899999999996</v>
      </c>
      <c r="AQ68" s="24">
        <v>4826.49</v>
      </c>
      <c r="AR68" s="24">
        <v>4882.93</v>
      </c>
      <c r="AS68" s="24">
        <v>4931.53</v>
      </c>
      <c r="AT68" s="24">
        <v>4986.12</v>
      </c>
    </row>
    <row r="69" spans="1:64" ht="17" thickBot="1">
      <c r="A69" s="27">
        <v>38</v>
      </c>
      <c r="B69" s="79" t="s">
        <v>107</v>
      </c>
      <c r="C69" s="32">
        <f t="shared" si="4"/>
        <v>42080.26</v>
      </c>
      <c r="D69" s="32">
        <f t="shared" si="5"/>
        <v>41755.47</v>
      </c>
      <c r="E69" s="112">
        <v>15802.539999999994</v>
      </c>
      <c r="F69" s="137">
        <v>15802.54</v>
      </c>
      <c r="G69" s="72" t="s">
        <v>105</v>
      </c>
      <c r="H69" s="29">
        <v>16940.91</v>
      </c>
      <c r="I69" s="43">
        <v>17390.05</v>
      </c>
      <c r="J69" s="43">
        <v>17850.88</v>
      </c>
      <c r="K69" s="43">
        <v>18448.84</v>
      </c>
      <c r="L69" s="43">
        <v>19011.53</v>
      </c>
      <c r="M69" s="43">
        <v>19542.18</v>
      </c>
      <c r="N69" s="43">
        <v>20189.66</v>
      </c>
      <c r="O69" s="43">
        <v>21246.66</v>
      </c>
      <c r="P69" s="43">
        <v>22505.89</v>
      </c>
      <c r="Q69" s="43">
        <v>23471.57</v>
      </c>
      <c r="R69" s="43">
        <v>23988.75</v>
      </c>
      <c r="S69" s="77">
        <v>23988.75</v>
      </c>
      <c r="T69" s="77">
        <v>23988.75</v>
      </c>
      <c r="U69" s="43">
        <v>24601.47</v>
      </c>
      <c r="V69" s="43">
        <v>25254.959999999999</v>
      </c>
      <c r="W69" s="43">
        <v>26006.48</v>
      </c>
      <c r="X69" s="43">
        <v>26694.29</v>
      </c>
      <c r="Y69" s="43">
        <v>27311.919999999998</v>
      </c>
      <c r="Z69" s="106">
        <v>27881.06</v>
      </c>
      <c r="AA69" s="106">
        <v>28451.72</v>
      </c>
      <c r="AB69" s="106">
        <v>29408.58</v>
      </c>
      <c r="AC69" s="106">
        <v>30692.84</v>
      </c>
      <c r="AD69" s="106">
        <v>31919.52</v>
      </c>
      <c r="AE69" s="106">
        <v>32866.92</v>
      </c>
      <c r="AF69" s="106">
        <v>33495.480000000003</v>
      </c>
      <c r="AG69" s="106">
        <v>34203.199999999997</v>
      </c>
      <c r="AH69" s="106">
        <v>35028.54</v>
      </c>
      <c r="AI69" s="106">
        <v>35723.07</v>
      </c>
      <c r="AJ69" s="106">
        <v>36606.370000000003</v>
      </c>
      <c r="AK69" s="24">
        <v>37358.480000000003</v>
      </c>
      <c r="AL69" s="24">
        <v>38244.68</v>
      </c>
      <c r="AM69" s="77">
        <v>38244.68</v>
      </c>
      <c r="AN69" s="77">
        <v>38244.68</v>
      </c>
      <c r="AO69" s="24">
        <v>38610.06</v>
      </c>
      <c r="AP69" s="24">
        <v>39030.870000000003</v>
      </c>
      <c r="AQ69" s="24">
        <v>39955.599999999999</v>
      </c>
      <c r="AR69" s="24">
        <v>41104.410000000003</v>
      </c>
      <c r="AS69" s="24">
        <v>41755.47</v>
      </c>
      <c r="AT69" s="24">
        <v>42080.26</v>
      </c>
    </row>
    <row r="70" spans="1:64" ht="17" thickBot="1">
      <c r="A70" s="27">
        <v>38</v>
      </c>
      <c r="B70" s="82" t="s">
        <v>107</v>
      </c>
      <c r="C70" s="32">
        <f t="shared" si="4"/>
        <v>17317.23</v>
      </c>
      <c r="D70" s="32">
        <f t="shared" si="5"/>
        <v>17224.599999999999</v>
      </c>
      <c r="E70" s="78"/>
      <c r="F70" s="86"/>
      <c r="G70" s="72" t="s">
        <v>105</v>
      </c>
      <c r="H70" s="29">
        <v>9688.8700000000008</v>
      </c>
      <c r="I70" s="43">
        <v>9826.69</v>
      </c>
      <c r="J70" s="43">
        <v>9973.85</v>
      </c>
      <c r="K70" s="43">
        <v>10140.19</v>
      </c>
      <c r="L70" s="43">
        <v>10303</v>
      </c>
      <c r="M70" s="43">
        <v>10444.77</v>
      </c>
      <c r="N70" s="43">
        <v>10603.38</v>
      </c>
      <c r="O70" s="43">
        <v>10868.02</v>
      </c>
      <c r="P70" s="43">
        <v>11190.11</v>
      </c>
      <c r="Q70" s="43">
        <v>11413.74</v>
      </c>
      <c r="R70" s="43">
        <v>11562.44</v>
      </c>
      <c r="S70" s="77">
        <v>11562.44</v>
      </c>
      <c r="T70" s="77">
        <v>11562.44</v>
      </c>
      <c r="U70" s="43">
        <v>11728.26</v>
      </c>
      <c r="V70" s="43">
        <v>11922.99</v>
      </c>
      <c r="W70" s="43">
        <v>12179.38</v>
      </c>
      <c r="X70" s="43">
        <v>12399.12</v>
      </c>
      <c r="Y70" s="43">
        <v>12582.24</v>
      </c>
      <c r="Z70" s="106">
        <v>12735.98</v>
      </c>
      <c r="AA70" s="106">
        <v>12885.96</v>
      </c>
      <c r="AB70" s="106">
        <v>13164.64</v>
      </c>
      <c r="AC70" s="106">
        <v>13605.8</v>
      </c>
      <c r="AD70" s="106">
        <v>13934.97</v>
      </c>
      <c r="AE70" s="106">
        <v>14190.42</v>
      </c>
      <c r="AF70" s="106">
        <v>14357.01</v>
      </c>
      <c r="AG70" s="106">
        <v>14562.81</v>
      </c>
      <c r="AH70" s="106">
        <v>14837.35</v>
      </c>
      <c r="AI70" s="106">
        <v>15114.96</v>
      </c>
      <c r="AJ70" s="106">
        <v>15491.76</v>
      </c>
      <c r="AK70" s="24">
        <v>15800.63</v>
      </c>
      <c r="AL70" s="24">
        <v>16196.94</v>
      </c>
      <c r="AM70" s="77">
        <v>16196.94</v>
      </c>
      <c r="AN70" s="77">
        <v>16196.94</v>
      </c>
      <c r="AO70" s="24">
        <v>16306.1</v>
      </c>
      <c r="AP70" s="24">
        <v>16441.3</v>
      </c>
      <c r="AQ70" s="24">
        <v>16730.27</v>
      </c>
      <c r="AR70" s="24">
        <v>17077.66</v>
      </c>
      <c r="AS70" s="24">
        <v>17224.599999999999</v>
      </c>
      <c r="AT70" s="24">
        <v>17317.23</v>
      </c>
    </row>
    <row r="71" spans="1:64" ht="17" thickBot="1">
      <c r="A71" s="27">
        <v>39</v>
      </c>
      <c r="B71" s="79" t="s">
        <v>87</v>
      </c>
      <c r="C71" s="32">
        <f t="shared" si="4"/>
        <v>2507.12</v>
      </c>
      <c r="D71" s="32">
        <f t="shared" si="5"/>
        <v>2058.12</v>
      </c>
      <c r="E71" s="112">
        <v>3236.9100000000008</v>
      </c>
      <c r="F71" s="137">
        <v>3236.91</v>
      </c>
      <c r="G71" s="72" t="s">
        <v>108</v>
      </c>
      <c r="H71" s="130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77">
        <v>0</v>
      </c>
      <c r="AN71" s="77">
        <v>0</v>
      </c>
      <c r="AO71" s="24">
        <v>389.91</v>
      </c>
      <c r="AP71" s="24">
        <v>709.33</v>
      </c>
      <c r="AQ71" s="24">
        <v>1184.55</v>
      </c>
      <c r="AR71" s="24">
        <v>1656.85</v>
      </c>
      <c r="AS71" s="24">
        <v>2058.12</v>
      </c>
      <c r="AT71" s="24">
        <v>2507.12</v>
      </c>
    </row>
    <row r="72" spans="1:64" ht="17" thickBot="1">
      <c r="A72" s="27">
        <v>39</v>
      </c>
      <c r="B72" s="82" t="s">
        <v>87</v>
      </c>
      <c r="C72" s="32">
        <f t="shared" si="4"/>
        <v>1548.84</v>
      </c>
      <c r="D72" s="32">
        <f t="shared" si="5"/>
        <v>1206.8499999999999</v>
      </c>
      <c r="E72" s="78"/>
      <c r="F72" s="86"/>
      <c r="G72" s="72" t="s">
        <v>108</v>
      </c>
      <c r="H72" s="130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77">
        <v>0</v>
      </c>
      <c r="AN72" s="77">
        <v>0</v>
      </c>
      <c r="AO72" s="24">
        <v>215.78</v>
      </c>
      <c r="AP72" s="24">
        <v>372.64</v>
      </c>
      <c r="AQ72" s="24">
        <v>683.21</v>
      </c>
      <c r="AR72" s="24">
        <v>971.4</v>
      </c>
      <c r="AS72" s="24">
        <v>1206.8499999999999</v>
      </c>
      <c r="AT72" s="24">
        <v>1548.84</v>
      </c>
    </row>
    <row r="73" spans="1:64" ht="17" thickBot="1">
      <c r="A73" s="27">
        <v>40</v>
      </c>
      <c r="B73" s="116" t="s">
        <v>88</v>
      </c>
      <c r="C73" s="32">
        <f t="shared" si="4"/>
        <v>967.9</v>
      </c>
      <c r="D73" s="32">
        <f t="shared" si="5"/>
        <v>963.9</v>
      </c>
      <c r="E73" s="111">
        <v>9.3300000000000267</v>
      </c>
      <c r="F73" s="137">
        <v>9.33</v>
      </c>
      <c r="G73" s="72">
        <v>57</v>
      </c>
      <c r="H73" s="29">
        <v>810.2</v>
      </c>
      <c r="I73" s="43">
        <v>817.6</v>
      </c>
      <c r="J73" s="43">
        <v>821.9</v>
      </c>
      <c r="K73" s="43">
        <v>826.7</v>
      </c>
      <c r="L73" s="43">
        <v>830.4</v>
      </c>
      <c r="M73" s="43">
        <v>840</v>
      </c>
      <c r="N73" s="43">
        <v>850.8</v>
      </c>
      <c r="O73" s="43">
        <v>858.7</v>
      </c>
      <c r="P73" s="43">
        <v>865.7</v>
      </c>
      <c r="Q73" s="43">
        <v>869</v>
      </c>
      <c r="R73" s="43">
        <v>872.7</v>
      </c>
      <c r="S73" s="77">
        <v>872.7</v>
      </c>
      <c r="T73" s="77">
        <v>872.7</v>
      </c>
      <c r="U73" s="43">
        <v>874.5</v>
      </c>
      <c r="V73" s="43">
        <v>878</v>
      </c>
      <c r="W73" s="43">
        <v>880</v>
      </c>
      <c r="X73" s="43">
        <v>884.8</v>
      </c>
      <c r="Y73" s="43">
        <v>886.8</v>
      </c>
      <c r="Z73" s="106">
        <v>890.7</v>
      </c>
      <c r="AA73" s="106">
        <v>897.2</v>
      </c>
      <c r="AB73" s="106">
        <v>901.1</v>
      </c>
      <c r="AC73" s="106">
        <v>905.1</v>
      </c>
      <c r="AD73" s="106">
        <v>909.5</v>
      </c>
      <c r="AE73" s="106">
        <v>913</v>
      </c>
      <c r="AF73" s="106">
        <v>915.9</v>
      </c>
      <c r="AG73" s="106">
        <v>919.1</v>
      </c>
      <c r="AH73" s="106">
        <v>921.7</v>
      </c>
      <c r="AI73" s="106">
        <v>923.2</v>
      </c>
      <c r="AJ73" s="106">
        <v>926.9</v>
      </c>
      <c r="AK73" s="24">
        <v>929.2</v>
      </c>
      <c r="AL73" s="24">
        <v>932.6</v>
      </c>
      <c r="AM73" s="77">
        <v>932.6</v>
      </c>
      <c r="AN73" s="77">
        <v>932.6</v>
      </c>
      <c r="AO73" s="24">
        <v>937.1</v>
      </c>
      <c r="AP73" s="24">
        <v>942.9</v>
      </c>
      <c r="AQ73" s="24">
        <v>952.5</v>
      </c>
      <c r="AR73" s="24">
        <v>958.6</v>
      </c>
      <c r="AS73" s="24">
        <v>963.9</v>
      </c>
      <c r="AT73" s="24">
        <v>967.9</v>
      </c>
    </row>
    <row r="74" spans="1:64" ht="17" thickBot="1">
      <c r="A74" s="27">
        <v>41</v>
      </c>
      <c r="B74" s="79" t="s">
        <v>97</v>
      </c>
      <c r="C74" s="32">
        <f t="shared" si="4"/>
        <v>34337.47</v>
      </c>
      <c r="D74" s="32">
        <f t="shared" si="5"/>
        <v>34008.959999999999</v>
      </c>
      <c r="E74" s="78">
        <v>-2420.1599999999958</v>
      </c>
      <c r="F74" s="137">
        <v>4000</v>
      </c>
      <c r="G74" s="72">
        <v>28</v>
      </c>
      <c r="H74" s="29">
        <v>16006.64</v>
      </c>
      <c r="I74" s="80">
        <v>17203.95</v>
      </c>
      <c r="J74" s="43">
        <v>18532.61</v>
      </c>
      <c r="K74" s="43">
        <v>19396.349999999999</v>
      </c>
      <c r="L74" s="43">
        <v>19913.13</v>
      </c>
      <c r="M74" s="43">
        <v>20094.27</v>
      </c>
      <c r="N74" s="43">
        <v>20233.07</v>
      </c>
      <c r="O74" s="43">
        <v>20380.21</v>
      </c>
      <c r="P74" s="43">
        <v>20586.560000000001</v>
      </c>
      <c r="Q74" s="43">
        <v>20711.810000000001</v>
      </c>
      <c r="R74" s="43">
        <v>20861.669999999998</v>
      </c>
      <c r="S74" s="77">
        <v>20861.669999999998</v>
      </c>
      <c r="T74" s="77">
        <v>20861.669999999998</v>
      </c>
      <c r="U74" s="43">
        <v>21373.19</v>
      </c>
      <c r="V74" s="43">
        <v>22339.31</v>
      </c>
      <c r="W74" s="43">
        <v>23442.39</v>
      </c>
      <c r="X74" s="43">
        <v>24500.07</v>
      </c>
      <c r="Y74" s="43">
        <v>25267.06</v>
      </c>
      <c r="Z74" s="106">
        <v>25540.77</v>
      </c>
      <c r="AA74" s="106">
        <v>25693.96</v>
      </c>
      <c r="AB74" s="106">
        <v>25922.89</v>
      </c>
      <c r="AC74" s="106">
        <v>26161.48</v>
      </c>
      <c r="AD74" s="106">
        <v>26380</v>
      </c>
      <c r="AE74" s="106">
        <v>26542.41</v>
      </c>
      <c r="AF74" s="106">
        <v>26810.03</v>
      </c>
      <c r="AG74" s="106">
        <v>27537.26</v>
      </c>
      <c r="AH74" s="106">
        <v>28660.17</v>
      </c>
      <c r="AI74" s="106">
        <v>29776.87</v>
      </c>
      <c r="AJ74" s="106">
        <v>31103.89</v>
      </c>
      <c r="AK74" s="24">
        <v>31916.2</v>
      </c>
      <c r="AL74" s="106">
        <v>32671.79</v>
      </c>
      <c r="AM74" s="77">
        <v>32671.79</v>
      </c>
      <c r="AN74" s="77">
        <v>32671.79</v>
      </c>
      <c r="AO74" s="24">
        <v>33064.75</v>
      </c>
      <c r="AP74" s="24">
        <v>33287.86</v>
      </c>
      <c r="AQ74" s="106">
        <v>33538.83</v>
      </c>
      <c r="AR74" s="106">
        <v>33821.269999999997</v>
      </c>
      <c r="AS74" s="106">
        <v>34008.959999999999</v>
      </c>
      <c r="AT74" s="106">
        <v>34337.47</v>
      </c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</row>
    <row r="75" spans="1:64" ht="17" thickBot="1">
      <c r="A75" s="27">
        <v>41</v>
      </c>
      <c r="B75" s="82" t="s">
        <v>97</v>
      </c>
      <c r="C75" s="32">
        <f t="shared" si="4"/>
        <v>14706.47</v>
      </c>
      <c r="D75" s="32">
        <f t="shared" si="5"/>
        <v>14595.7</v>
      </c>
      <c r="E75" s="133"/>
      <c r="F75" s="86"/>
      <c r="G75" s="72">
        <v>28</v>
      </c>
      <c r="H75" s="29">
        <v>7210.86</v>
      </c>
      <c r="I75" s="43">
        <v>7802.32</v>
      </c>
      <c r="J75" s="43">
        <v>8455.07</v>
      </c>
      <c r="K75" s="43">
        <v>8876.81</v>
      </c>
      <c r="L75" s="43">
        <v>9107.19</v>
      </c>
      <c r="M75" s="43">
        <v>9141.15</v>
      </c>
      <c r="N75" s="43">
        <v>9167.8700000000008</v>
      </c>
      <c r="O75" s="43">
        <v>9195.31</v>
      </c>
      <c r="P75" s="43">
        <v>9224.07</v>
      </c>
      <c r="Q75" s="43">
        <v>9249.3700000000008</v>
      </c>
      <c r="R75" s="43">
        <v>9292.74</v>
      </c>
      <c r="S75" s="77">
        <v>9292.74</v>
      </c>
      <c r="T75" s="77">
        <v>9292.74</v>
      </c>
      <c r="U75" s="43">
        <v>9498.18</v>
      </c>
      <c r="V75" s="43">
        <v>10010.219999999999</v>
      </c>
      <c r="W75" s="43">
        <v>10526.66</v>
      </c>
      <c r="X75" s="43">
        <v>11003.79</v>
      </c>
      <c r="Y75" s="43">
        <v>11306.18</v>
      </c>
      <c r="Z75" s="106">
        <v>11393.58</v>
      </c>
      <c r="AA75" s="106">
        <v>11419.49</v>
      </c>
      <c r="AB75" s="106">
        <v>11454.29</v>
      </c>
      <c r="AC75" s="107">
        <v>11488.84</v>
      </c>
      <c r="AD75" s="106">
        <v>11518.91</v>
      </c>
      <c r="AE75" s="106">
        <v>11544.72</v>
      </c>
      <c r="AF75" s="106">
        <v>11637.96</v>
      </c>
      <c r="AG75" s="106">
        <v>12014</v>
      </c>
      <c r="AH75" s="106">
        <v>12528.81</v>
      </c>
      <c r="AI75" s="106">
        <v>13058.5</v>
      </c>
      <c r="AJ75" s="106">
        <v>13658.82</v>
      </c>
      <c r="AK75" s="24">
        <v>14045.29</v>
      </c>
      <c r="AL75" s="106">
        <v>14400.22</v>
      </c>
      <c r="AM75" s="77">
        <v>14400.22</v>
      </c>
      <c r="AN75" s="77">
        <v>14400.22</v>
      </c>
      <c r="AO75" s="24">
        <v>14438.72</v>
      </c>
      <c r="AP75" s="24">
        <v>14466.85</v>
      </c>
      <c r="AQ75" s="106">
        <v>14509.08</v>
      </c>
      <c r="AR75" s="106">
        <v>14567.92</v>
      </c>
      <c r="AS75" s="106">
        <v>14595.7</v>
      </c>
      <c r="AT75" s="106">
        <v>14706.47</v>
      </c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</row>
    <row r="76" spans="1:64" ht="17" thickBot="1">
      <c r="A76" s="27">
        <v>42</v>
      </c>
      <c r="B76" s="79" t="s">
        <v>89</v>
      </c>
      <c r="C76" s="32">
        <f t="shared" si="4"/>
        <v>22830.39</v>
      </c>
      <c r="D76" s="32">
        <f t="shared" si="5"/>
        <v>22688.75</v>
      </c>
      <c r="E76" s="111">
        <v>2148.75</v>
      </c>
      <c r="F76" s="137">
        <v>2200</v>
      </c>
      <c r="G76" s="72">
        <v>16</v>
      </c>
      <c r="H76" s="29">
        <v>16488.650000000001</v>
      </c>
      <c r="I76" s="43">
        <v>16778.12</v>
      </c>
      <c r="J76" s="43">
        <v>17034.88</v>
      </c>
      <c r="K76" s="43">
        <v>17237.759999999998</v>
      </c>
      <c r="L76" s="43">
        <v>17484.509999999998</v>
      </c>
      <c r="M76" s="43">
        <v>17656.3</v>
      </c>
      <c r="N76" s="43">
        <v>17852.53</v>
      </c>
      <c r="O76" s="43">
        <v>18033.650000000001</v>
      </c>
      <c r="P76" s="43">
        <v>18243.93</v>
      </c>
      <c r="Q76" s="43">
        <v>18413.810000000001</v>
      </c>
      <c r="R76" s="43">
        <v>18542.330000000002</v>
      </c>
      <c r="S76" s="77">
        <v>18542.330000000002</v>
      </c>
      <c r="T76" s="77">
        <v>18542.330000000002</v>
      </c>
      <c r="U76" s="43">
        <v>18734.12</v>
      </c>
      <c r="V76" s="43">
        <v>18901.62</v>
      </c>
      <c r="W76" s="43">
        <v>19061.98</v>
      </c>
      <c r="X76" s="43">
        <v>19221.12</v>
      </c>
      <c r="Y76" s="43">
        <v>19370.47</v>
      </c>
      <c r="Z76" s="106">
        <v>19559.02</v>
      </c>
      <c r="AA76" s="106">
        <v>19722.189999999999</v>
      </c>
      <c r="AB76" s="106">
        <v>19959.97</v>
      </c>
      <c r="AC76" s="106">
        <v>20244.439999999999</v>
      </c>
      <c r="AD76" s="106">
        <v>20465.32</v>
      </c>
      <c r="AE76" s="106">
        <v>20649.650000000001</v>
      </c>
      <c r="AF76" s="106">
        <v>20771.25</v>
      </c>
      <c r="AG76" s="106">
        <v>20901.91</v>
      </c>
      <c r="AH76" s="106">
        <v>21052.93</v>
      </c>
      <c r="AI76" s="106">
        <v>21195.59</v>
      </c>
      <c r="AJ76" s="106">
        <v>21343.87</v>
      </c>
      <c r="AK76" s="24">
        <v>21458.91</v>
      </c>
      <c r="AL76" s="24">
        <v>21642.6</v>
      </c>
      <c r="AM76" s="77">
        <v>21642.6</v>
      </c>
      <c r="AN76" s="77">
        <v>21642.6</v>
      </c>
      <c r="AO76" s="24">
        <v>21803.22</v>
      </c>
      <c r="AP76" s="24">
        <v>21981.13</v>
      </c>
      <c r="AQ76" s="24">
        <v>22253.040000000001</v>
      </c>
      <c r="AR76" s="24">
        <v>22516.69</v>
      </c>
      <c r="AS76" s="24">
        <v>22688.75</v>
      </c>
      <c r="AT76" s="24">
        <v>22830.39</v>
      </c>
    </row>
    <row r="77" spans="1:64" ht="17" thickBot="1">
      <c r="A77" s="27">
        <v>42</v>
      </c>
      <c r="B77" s="82" t="s">
        <v>89</v>
      </c>
      <c r="C77" s="32">
        <f t="shared" si="4"/>
        <v>5710.99</v>
      </c>
      <c r="D77" s="32">
        <f t="shared" si="5"/>
        <v>5659.83</v>
      </c>
      <c r="E77" s="78"/>
      <c r="F77" s="86"/>
      <c r="G77" s="72">
        <v>16</v>
      </c>
      <c r="H77" s="29">
        <v>4309.29</v>
      </c>
      <c r="I77" s="43">
        <v>4386.09</v>
      </c>
      <c r="J77" s="43">
        <v>4455.33</v>
      </c>
      <c r="K77" s="43">
        <v>4517.32</v>
      </c>
      <c r="L77" s="43">
        <v>4588.8500000000004</v>
      </c>
      <c r="M77" s="43">
        <v>4638.22</v>
      </c>
      <c r="N77" s="43">
        <v>4676.76</v>
      </c>
      <c r="O77" s="43">
        <v>4707.1899999999996</v>
      </c>
      <c r="P77" s="43">
        <v>4734.97</v>
      </c>
      <c r="Q77" s="43">
        <v>4762.51</v>
      </c>
      <c r="R77" s="43">
        <v>4791.37</v>
      </c>
      <c r="S77" s="77">
        <v>4791.37</v>
      </c>
      <c r="T77" s="77">
        <v>4791.37</v>
      </c>
      <c r="U77" s="43">
        <v>4846.4799999999996</v>
      </c>
      <c r="V77" s="43">
        <v>4883.92</v>
      </c>
      <c r="W77" s="43">
        <v>4921.51</v>
      </c>
      <c r="X77" s="43">
        <v>4962.0600000000004</v>
      </c>
      <c r="Y77" s="43">
        <v>4998.4399999999996</v>
      </c>
      <c r="Z77" s="106">
        <v>5038.3</v>
      </c>
      <c r="AA77" s="106">
        <v>5081.9799999999996</v>
      </c>
      <c r="AB77" s="106">
        <v>5119.78</v>
      </c>
      <c r="AC77" s="106">
        <v>5161.3100000000004</v>
      </c>
      <c r="AD77" s="106">
        <v>5189.5200000000004</v>
      </c>
      <c r="AE77" s="106">
        <v>5220.17</v>
      </c>
      <c r="AF77" s="106">
        <v>5250.22</v>
      </c>
      <c r="AG77" s="106">
        <v>5285.18</v>
      </c>
      <c r="AH77" s="106">
        <v>5335.02</v>
      </c>
      <c r="AI77" s="106">
        <v>5379.59</v>
      </c>
      <c r="AJ77" s="106">
        <v>5423.93</v>
      </c>
      <c r="AK77" s="24">
        <v>5452.43</v>
      </c>
      <c r="AL77" s="24">
        <v>5484.67</v>
      </c>
      <c r="AM77" s="77">
        <v>5484.67</v>
      </c>
      <c r="AN77" s="77">
        <v>5484.67</v>
      </c>
      <c r="AO77" s="24">
        <v>5516.79</v>
      </c>
      <c r="AP77" s="24">
        <v>5552.28</v>
      </c>
      <c r="AQ77" s="24">
        <v>5590.66</v>
      </c>
      <c r="AR77" s="24">
        <v>5628.67</v>
      </c>
      <c r="AS77" s="24">
        <v>5659.83</v>
      </c>
      <c r="AT77" s="24">
        <v>5710.99</v>
      </c>
    </row>
    <row r="78" spans="1:64" ht="17" thickBot="1">
      <c r="A78" s="27">
        <v>43</v>
      </c>
      <c r="B78" s="79" t="s">
        <v>90</v>
      </c>
      <c r="C78" s="32">
        <f t="shared" si="4"/>
        <v>26618.7</v>
      </c>
      <c r="D78" s="32">
        <f t="shared" si="5"/>
        <v>26395.02</v>
      </c>
      <c r="E78" s="112">
        <v>2226.6600000000003</v>
      </c>
      <c r="F78" s="137">
        <v>2226.66</v>
      </c>
      <c r="G78" s="72">
        <v>45</v>
      </c>
      <c r="H78" s="29">
        <v>13494.58</v>
      </c>
      <c r="I78" s="43">
        <v>13711.98</v>
      </c>
      <c r="J78" s="43">
        <v>13903.35</v>
      </c>
      <c r="K78" s="43">
        <v>14085.14</v>
      </c>
      <c r="L78" s="43">
        <v>14307.94</v>
      </c>
      <c r="M78" s="43">
        <v>14691.83</v>
      </c>
      <c r="N78" s="43">
        <v>15108.58</v>
      </c>
      <c r="O78" s="43">
        <v>15700.95</v>
      </c>
      <c r="P78" s="43">
        <v>16310.01</v>
      </c>
      <c r="Q78" s="43">
        <v>16854.98</v>
      </c>
      <c r="R78" s="43">
        <v>17235.919999999998</v>
      </c>
      <c r="S78" s="77">
        <v>17235.919999999998</v>
      </c>
      <c r="T78" s="77">
        <v>17235.919999999998</v>
      </c>
      <c r="U78" s="43">
        <v>17648.419999999998</v>
      </c>
      <c r="V78" s="43">
        <v>17971.23</v>
      </c>
      <c r="W78" s="43">
        <v>18509.14</v>
      </c>
      <c r="X78" s="43">
        <v>18967.53</v>
      </c>
      <c r="Y78" s="43">
        <v>19201.349999999999</v>
      </c>
      <c r="Z78" s="106">
        <v>19579.810000000001</v>
      </c>
      <c r="AA78" s="106">
        <v>20020.89</v>
      </c>
      <c r="AB78" s="106">
        <v>20543.84</v>
      </c>
      <c r="AC78" s="106">
        <v>21228.12</v>
      </c>
      <c r="AD78" s="106">
        <v>21831.09</v>
      </c>
      <c r="AE78" s="106">
        <v>22355.75</v>
      </c>
      <c r="AF78" s="106">
        <v>22832.71</v>
      </c>
      <c r="AG78" s="106">
        <v>23247.7</v>
      </c>
      <c r="AH78" s="106">
        <v>23525.1</v>
      </c>
      <c r="AI78" s="106">
        <v>23720.42</v>
      </c>
      <c r="AJ78" s="106">
        <v>23937.45</v>
      </c>
      <c r="AK78" s="24">
        <v>24122.53</v>
      </c>
      <c r="AL78" s="24">
        <v>24356.69</v>
      </c>
      <c r="AM78" s="77">
        <v>24356.69</v>
      </c>
      <c r="AN78" s="77">
        <v>24356.69</v>
      </c>
      <c r="AO78" s="24">
        <v>24704.04</v>
      </c>
      <c r="AP78" s="24">
        <v>25130.67</v>
      </c>
      <c r="AQ78" s="24">
        <v>25575.24</v>
      </c>
      <c r="AR78" s="24">
        <v>26069.45</v>
      </c>
      <c r="AS78" s="24">
        <v>26395.02</v>
      </c>
      <c r="AT78" s="24">
        <v>26618.7</v>
      </c>
    </row>
    <row r="79" spans="1:64" ht="17" thickBot="1">
      <c r="A79" s="27">
        <v>43</v>
      </c>
      <c r="B79" s="82" t="s">
        <v>90</v>
      </c>
      <c r="C79" s="32">
        <f t="shared" si="4"/>
        <v>10798.37</v>
      </c>
      <c r="D79" s="32">
        <f t="shared" si="5"/>
        <v>10686.08</v>
      </c>
      <c r="E79" s="78"/>
      <c r="F79" s="86"/>
      <c r="G79" s="72">
        <v>45</v>
      </c>
      <c r="H79" s="29">
        <v>5561.13</v>
      </c>
      <c r="I79" s="43">
        <v>5643.78</v>
      </c>
      <c r="J79" s="43">
        <v>5707.56</v>
      </c>
      <c r="K79" s="43">
        <v>5775.19</v>
      </c>
      <c r="L79" s="43">
        <v>5865.87</v>
      </c>
      <c r="M79" s="43">
        <v>6039.93</v>
      </c>
      <c r="N79" s="43">
        <v>6230.6</v>
      </c>
      <c r="O79" s="43">
        <v>6469.97</v>
      </c>
      <c r="P79" s="43">
        <v>6720.6</v>
      </c>
      <c r="Q79" s="43">
        <v>6939.04</v>
      </c>
      <c r="R79" s="43">
        <v>7071.4</v>
      </c>
      <c r="S79" s="77">
        <v>7071.4</v>
      </c>
      <c r="T79" s="77">
        <v>7071.4</v>
      </c>
      <c r="U79" s="43">
        <v>7240.49</v>
      </c>
      <c r="V79" s="43">
        <v>7354.89</v>
      </c>
      <c r="W79" s="43">
        <v>7575.64</v>
      </c>
      <c r="X79" s="43">
        <v>7761.04</v>
      </c>
      <c r="Y79" s="43">
        <v>7833.99</v>
      </c>
      <c r="Z79" s="106">
        <v>7954.07</v>
      </c>
      <c r="AA79" s="106">
        <v>8136.96</v>
      </c>
      <c r="AB79" s="106">
        <v>8355.56</v>
      </c>
      <c r="AC79" s="106">
        <v>8582.1</v>
      </c>
      <c r="AD79" s="106">
        <v>8803.26</v>
      </c>
      <c r="AE79" s="106">
        <v>9015.06</v>
      </c>
      <c r="AF79" s="106">
        <v>9225.74</v>
      </c>
      <c r="AG79" s="106">
        <v>9403.0400000000009</v>
      </c>
      <c r="AH79" s="106">
        <v>9513</v>
      </c>
      <c r="AI79" s="106">
        <v>9603</v>
      </c>
      <c r="AJ79" s="106">
        <v>9700.89</v>
      </c>
      <c r="AK79" s="24">
        <v>9796.98</v>
      </c>
      <c r="AL79" s="24">
        <v>9915.4</v>
      </c>
      <c r="AM79" s="77">
        <v>9915.4</v>
      </c>
      <c r="AN79" s="77">
        <v>9915.4</v>
      </c>
      <c r="AO79" s="24">
        <v>10056.629999999999</v>
      </c>
      <c r="AP79" s="24">
        <v>10236.540000000001</v>
      </c>
      <c r="AQ79" s="24">
        <v>10404.76</v>
      </c>
      <c r="AR79" s="24">
        <v>10562.58</v>
      </c>
      <c r="AS79" s="24">
        <v>10686.08</v>
      </c>
      <c r="AT79" s="24">
        <v>10798.37</v>
      </c>
    </row>
    <row r="80" spans="1:64" ht="17" thickBot="1">
      <c r="A80" s="27">
        <v>44</v>
      </c>
      <c r="B80" s="79" t="s">
        <v>91</v>
      </c>
      <c r="C80" s="32">
        <f t="shared" si="4"/>
        <v>1036.0999999999999</v>
      </c>
      <c r="D80" s="32">
        <f t="shared" si="5"/>
        <v>871.04</v>
      </c>
      <c r="E80" s="112">
        <v>1035.9599999999994</v>
      </c>
      <c r="F80" s="137">
        <v>1035.96</v>
      </c>
      <c r="G80" s="72">
        <v>14</v>
      </c>
      <c r="H80" s="29">
        <v>8017.87</v>
      </c>
      <c r="I80" s="43">
        <v>8200.0400000000009</v>
      </c>
      <c r="J80" s="43">
        <v>8352.82</v>
      </c>
      <c r="K80" s="43">
        <v>8499.17</v>
      </c>
      <c r="L80" s="43">
        <v>8666.02</v>
      </c>
      <c r="M80" s="43">
        <v>8855.09</v>
      </c>
      <c r="N80" s="43">
        <v>9046.99</v>
      </c>
      <c r="O80" s="43">
        <v>9220.99</v>
      </c>
      <c r="P80" s="43">
        <v>9428.9500000000007</v>
      </c>
      <c r="Q80" s="43">
        <v>9607.51</v>
      </c>
      <c r="R80" s="43">
        <v>9778.1299999999992</v>
      </c>
      <c r="S80" s="77">
        <v>9778.1299999999992</v>
      </c>
      <c r="T80" s="77">
        <v>9778.1299999999992</v>
      </c>
      <c r="U80" s="43">
        <v>9954.91</v>
      </c>
      <c r="V80" s="43">
        <v>10143.280000000001</v>
      </c>
      <c r="W80" s="43">
        <v>10357.66</v>
      </c>
      <c r="X80" s="43">
        <v>10557.8</v>
      </c>
      <c r="Y80" s="43">
        <v>10751.73</v>
      </c>
      <c r="Z80" s="106">
        <v>10955.7</v>
      </c>
      <c r="AA80" s="106">
        <v>11141.2</v>
      </c>
      <c r="AB80" s="106">
        <v>11346.48</v>
      </c>
      <c r="AC80" s="106">
        <v>11538.79</v>
      </c>
      <c r="AD80" s="106">
        <v>11726.14</v>
      </c>
      <c r="AE80" s="106">
        <v>11908.49</v>
      </c>
      <c r="AF80" s="106">
        <v>12074.41</v>
      </c>
      <c r="AG80" s="106">
        <v>12247.07</v>
      </c>
      <c r="AH80" s="106">
        <v>12413.69</v>
      </c>
      <c r="AI80" s="106">
        <v>12584.63</v>
      </c>
      <c r="AJ80" s="106">
        <v>12900.97</v>
      </c>
      <c r="AK80" s="24">
        <v>13141.49</v>
      </c>
      <c r="AL80" s="24">
        <v>13383.54</v>
      </c>
      <c r="AM80" s="77">
        <v>13422.18</v>
      </c>
      <c r="AN80" s="77">
        <v>0</v>
      </c>
      <c r="AO80" s="24">
        <v>158.91</v>
      </c>
      <c r="AP80" s="24">
        <v>346.13</v>
      </c>
      <c r="AQ80" s="24">
        <v>525.25</v>
      </c>
      <c r="AR80" s="24">
        <v>711.37</v>
      </c>
      <c r="AS80" s="24">
        <v>871.04</v>
      </c>
      <c r="AT80" s="24">
        <v>1036.0999999999999</v>
      </c>
    </row>
    <row r="81" spans="1:46" ht="17" thickBot="1">
      <c r="A81" s="27">
        <v>44</v>
      </c>
      <c r="B81" s="82" t="s">
        <v>91</v>
      </c>
      <c r="C81" s="32">
        <f t="shared" si="4"/>
        <v>367.99</v>
      </c>
      <c r="D81" s="32">
        <f t="shared" si="5"/>
        <v>306.18</v>
      </c>
      <c r="E81" s="78"/>
      <c r="F81" s="118"/>
      <c r="G81" s="72">
        <v>14</v>
      </c>
      <c r="H81" s="31">
        <v>2814.67</v>
      </c>
      <c r="I81" s="43">
        <v>2876.09</v>
      </c>
      <c r="J81" s="43">
        <v>2930.9</v>
      </c>
      <c r="K81" s="43">
        <v>2986.1</v>
      </c>
      <c r="L81" s="43">
        <v>3046.99</v>
      </c>
      <c r="M81" s="43">
        <v>3118.58</v>
      </c>
      <c r="N81" s="43">
        <v>3191.57</v>
      </c>
      <c r="O81" s="43">
        <v>3258.68</v>
      </c>
      <c r="P81" s="43">
        <v>3324.01</v>
      </c>
      <c r="Q81" s="43">
        <v>3391.1</v>
      </c>
      <c r="R81" s="43">
        <v>3457.12</v>
      </c>
      <c r="S81" s="77">
        <v>3457.12</v>
      </c>
      <c r="T81" s="77">
        <v>3457.12</v>
      </c>
      <c r="U81" s="43">
        <v>3518.99</v>
      </c>
      <c r="V81" s="43">
        <v>3583.1</v>
      </c>
      <c r="W81" s="43">
        <v>3651.73</v>
      </c>
      <c r="X81" s="43">
        <v>3716.68</v>
      </c>
      <c r="Y81" s="43">
        <v>3783.61</v>
      </c>
      <c r="Z81" s="106">
        <v>3856.18</v>
      </c>
      <c r="AA81" s="106">
        <v>3924.27</v>
      </c>
      <c r="AB81" s="106">
        <v>4003.06</v>
      </c>
      <c r="AC81" s="106">
        <v>4074.48</v>
      </c>
      <c r="AD81" s="106">
        <v>4146.82</v>
      </c>
      <c r="AE81" s="106">
        <v>4210.26</v>
      </c>
      <c r="AF81" s="106">
        <v>4263.95</v>
      </c>
      <c r="AG81" s="106">
        <v>4325.93</v>
      </c>
      <c r="AH81" s="106">
        <v>4385.3100000000004</v>
      </c>
      <c r="AI81" s="106">
        <v>4442.12</v>
      </c>
      <c r="AJ81" s="106">
        <v>4511.3100000000004</v>
      </c>
      <c r="AK81" s="24">
        <v>4573.1000000000004</v>
      </c>
      <c r="AL81" s="24">
        <v>4635.1000000000004</v>
      </c>
      <c r="AM81" s="77">
        <v>4645.43</v>
      </c>
      <c r="AN81" s="77">
        <v>0</v>
      </c>
      <c r="AO81" s="24">
        <v>53.99</v>
      </c>
      <c r="AP81" s="24">
        <v>118.98</v>
      </c>
      <c r="AQ81" s="24">
        <v>180.45</v>
      </c>
      <c r="AR81" s="24">
        <v>250.1</v>
      </c>
      <c r="AS81" s="24">
        <v>306.18</v>
      </c>
      <c r="AT81" s="24">
        <v>367.99</v>
      </c>
    </row>
    <row r="82" spans="1:46" ht="17" thickBot="1">
      <c r="A82" s="27">
        <v>45</v>
      </c>
      <c r="B82" s="79" t="s">
        <v>110</v>
      </c>
      <c r="C82" s="32">
        <f t="shared" si="4"/>
        <v>7017.43</v>
      </c>
      <c r="D82" s="32">
        <f t="shared" si="5"/>
        <v>6600.33</v>
      </c>
      <c r="E82" s="112">
        <v>2553.3799999999992</v>
      </c>
      <c r="F82" s="137">
        <v>2555</v>
      </c>
      <c r="G82" s="74">
        <v>59</v>
      </c>
      <c r="H82" s="29">
        <v>13295.78</v>
      </c>
      <c r="I82" s="43">
        <v>13574.5</v>
      </c>
      <c r="J82" s="43">
        <v>13863.16</v>
      </c>
      <c r="K82" s="43">
        <v>14130.67</v>
      </c>
      <c r="L82" s="43">
        <v>14401.92</v>
      </c>
      <c r="M82" s="43">
        <v>14648.43</v>
      </c>
      <c r="N82" s="43">
        <v>14869.18</v>
      </c>
      <c r="O82" s="43">
        <v>15155</v>
      </c>
      <c r="P82" s="43">
        <v>15573.32</v>
      </c>
      <c r="Q82" s="43">
        <v>15903.75</v>
      </c>
      <c r="R82" s="43">
        <v>16128.37</v>
      </c>
      <c r="S82" s="77">
        <v>0</v>
      </c>
      <c r="T82" s="77">
        <v>45.94</v>
      </c>
      <c r="U82" s="43">
        <v>297.18</v>
      </c>
      <c r="V82" s="43">
        <v>566.55999999999995</v>
      </c>
      <c r="W82" s="43">
        <v>847.33</v>
      </c>
      <c r="X82" s="43">
        <v>1117.47</v>
      </c>
      <c r="Y82" s="43">
        <v>1388.94</v>
      </c>
      <c r="Z82" s="106">
        <v>1657.26</v>
      </c>
      <c r="AA82" s="106">
        <v>1835.44</v>
      </c>
      <c r="AB82" s="107">
        <v>2115.0300000000002</v>
      </c>
      <c r="AC82" s="106">
        <v>2391.38</v>
      </c>
      <c r="AD82" s="106">
        <v>2584.16</v>
      </c>
      <c r="AE82" s="106">
        <v>2809.17</v>
      </c>
      <c r="AF82" s="106">
        <v>3110.62</v>
      </c>
      <c r="AG82" s="106">
        <v>3246.63</v>
      </c>
      <c r="AH82" s="106">
        <v>3447.29</v>
      </c>
      <c r="AI82" s="106">
        <v>3558.04</v>
      </c>
      <c r="AJ82" s="106">
        <v>3706.65</v>
      </c>
      <c r="AK82" s="24">
        <v>3784.62</v>
      </c>
      <c r="AL82" s="24">
        <v>4361.47</v>
      </c>
      <c r="AM82" s="77">
        <v>4361.47</v>
      </c>
      <c r="AN82" s="77">
        <v>4361.47</v>
      </c>
      <c r="AO82" s="24">
        <v>4988.99</v>
      </c>
      <c r="AP82" s="24">
        <v>5331.05</v>
      </c>
      <c r="AQ82" s="24">
        <v>5720.92</v>
      </c>
      <c r="AR82" s="24">
        <v>6208.1</v>
      </c>
      <c r="AS82" s="24">
        <v>6600.33</v>
      </c>
      <c r="AT82" s="24">
        <v>7017.43</v>
      </c>
    </row>
    <row r="83" spans="1:46">
      <c r="A83" s="27">
        <v>45</v>
      </c>
      <c r="B83" s="82" t="s">
        <v>110</v>
      </c>
      <c r="C83" s="32">
        <f t="shared" si="4"/>
        <v>2751.21</v>
      </c>
      <c r="D83" s="32">
        <f t="shared" si="5"/>
        <v>2618.96</v>
      </c>
      <c r="E83" s="78"/>
      <c r="F83" s="86"/>
      <c r="G83" s="74">
        <v>59</v>
      </c>
      <c r="H83" s="29">
        <v>5726.5</v>
      </c>
      <c r="I83" s="43">
        <v>5843.27</v>
      </c>
      <c r="J83" s="43">
        <v>5964.64</v>
      </c>
      <c r="K83" s="43">
        <v>6070.18</v>
      </c>
      <c r="L83" s="43">
        <v>6171.32</v>
      </c>
      <c r="M83" s="43">
        <v>6259.83</v>
      </c>
      <c r="N83" s="43">
        <v>6345.49</v>
      </c>
      <c r="O83" s="43">
        <v>6461.2</v>
      </c>
      <c r="P83" s="43">
        <v>6472.09</v>
      </c>
      <c r="Q83" s="43">
        <v>6520.66</v>
      </c>
      <c r="R83" s="43">
        <v>6569.66</v>
      </c>
      <c r="S83" s="77">
        <v>0</v>
      </c>
      <c r="T83" s="77">
        <v>13.04</v>
      </c>
      <c r="U83" s="43">
        <v>105.1</v>
      </c>
      <c r="V83" s="43">
        <v>208.2</v>
      </c>
      <c r="W83" s="43">
        <v>312.20999999999998</v>
      </c>
      <c r="X83" s="43">
        <v>412.24</v>
      </c>
      <c r="Y83" s="43">
        <v>508.84</v>
      </c>
      <c r="Z83" s="106">
        <v>600.87</v>
      </c>
      <c r="AA83" s="106">
        <v>676.22</v>
      </c>
      <c r="AB83" s="106">
        <v>806.75</v>
      </c>
      <c r="AC83" s="106">
        <v>930.57</v>
      </c>
      <c r="AD83" s="106">
        <v>1020.86</v>
      </c>
      <c r="AE83" s="106">
        <v>1131.99</v>
      </c>
      <c r="AF83" s="106">
        <v>1268.49</v>
      </c>
      <c r="AG83" s="106">
        <v>1331.84</v>
      </c>
      <c r="AH83" s="106">
        <v>1396.07</v>
      </c>
      <c r="AI83" s="106">
        <v>1445.82</v>
      </c>
      <c r="AJ83" s="106">
        <v>1523</v>
      </c>
      <c r="AK83" s="24">
        <v>1562.23</v>
      </c>
      <c r="AL83" s="24">
        <v>1763.45</v>
      </c>
      <c r="AM83" s="77">
        <v>1763.45</v>
      </c>
      <c r="AN83" s="77">
        <v>1763.45</v>
      </c>
      <c r="AO83" s="24">
        <v>2052.4499999999998</v>
      </c>
      <c r="AP83" s="24">
        <v>2251.81</v>
      </c>
      <c r="AQ83" s="24">
        <v>2387.3000000000002</v>
      </c>
      <c r="AR83" s="24">
        <v>2503.16</v>
      </c>
      <c r="AS83" s="24">
        <v>2618.96</v>
      </c>
      <c r="AT83" s="24">
        <v>2751.21</v>
      </c>
    </row>
    <row r="84" spans="1:46">
      <c r="E84" s="95"/>
    </row>
    <row r="85" spans="1:46">
      <c r="E85" s="55"/>
    </row>
    <row r="86" spans="1:46">
      <c r="B86" s="24" t="s">
        <v>103</v>
      </c>
      <c r="E86" s="55"/>
    </row>
    <row r="87" spans="1:46" ht="24" customHeight="1">
      <c r="B87" s="127" t="s">
        <v>102</v>
      </c>
      <c r="E87" s="55"/>
    </row>
    <row r="88" spans="1:46">
      <c r="E88" s="55"/>
    </row>
    <row r="89" spans="1:46">
      <c r="E89" s="55"/>
    </row>
    <row r="90" spans="1:46">
      <c r="E90" s="55"/>
    </row>
    <row r="91" spans="1:46">
      <c r="E91" s="55"/>
    </row>
    <row r="92" spans="1:46">
      <c r="B92" s="24" t="s">
        <v>104</v>
      </c>
      <c r="E92" s="55"/>
    </row>
    <row r="93" spans="1:46">
      <c r="B93" s="135" t="s">
        <v>0</v>
      </c>
      <c r="E93" s="55"/>
    </row>
    <row r="94" spans="1:46">
      <c r="B94" s="136" t="s">
        <v>111</v>
      </c>
      <c r="E94" s="55"/>
    </row>
    <row r="95" spans="1:46">
      <c r="B95" s="136" t="s">
        <v>112</v>
      </c>
      <c r="E95" s="55"/>
    </row>
    <row r="96" spans="1:46">
      <c r="B96" s="136" t="s">
        <v>113</v>
      </c>
      <c r="E96" s="55"/>
    </row>
    <row r="97" spans="2:5">
      <c r="B97" s="136" t="s">
        <v>30</v>
      </c>
      <c r="E97" s="55"/>
    </row>
    <row r="98" spans="2:5">
      <c r="E98" s="55"/>
    </row>
    <row r="99" spans="2:5">
      <c r="E99" s="55"/>
    </row>
    <row r="100" spans="2:5">
      <c r="E100" s="55"/>
    </row>
    <row r="101" spans="2:5">
      <c r="E101" s="55"/>
    </row>
    <row r="102" spans="2:5">
      <c r="E102" s="55"/>
    </row>
    <row r="103" spans="2:5">
      <c r="E103" s="55"/>
    </row>
    <row r="104" spans="2:5">
      <c r="E104" s="55"/>
    </row>
    <row r="105" spans="2:5">
      <c r="E105" s="55"/>
    </row>
    <row r="106" spans="2:5">
      <c r="E106" s="55"/>
    </row>
    <row r="107" spans="2:5">
      <c r="E107" s="55"/>
    </row>
    <row r="108" spans="2:5">
      <c r="E108" s="55"/>
    </row>
    <row r="109" spans="2:5">
      <c r="E109" s="55"/>
    </row>
    <row r="110" spans="2:5">
      <c r="E110" s="55"/>
    </row>
    <row r="111" spans="2:5">
      <c r="E111" s="55"/>
    </row>
    <row r="112" spans="2:5">
      <c r="E112" s="55"/>
    </row>
    <row r="113" spans="5:5">
      <c r="E113" s="55"/>
    </row>
    <row r="114" spans="5:5">
      <c r="E114" s="55"/>
    </row>
    <row r="115" spans="5:5">
      <c r="E115" s="55"/>
    </row>
    <row r="116" spans="5:5">
      <c r="E116" s="55"/>
    </row>
    <row r="117" spans="5:5">
      <c r="E117" s="55"/>
    </row>
    <row r="118" spans="5:5">
      <c r="E118" s="55"/>
    </row>
    <row r="119" spans="5:5">
      <c r="E119" s="55"/>
    </row>
    <row r="120" spans="5:5">
      <c r="E120" s="55"/>
    </row>
    <row r="121" spans="5:5">
      <c r="E121" s="55"/>
    </row>
    <row r="122" spans="5:5">
      <c r="E122" s="55"/>
    </row>
    <row r="123" spans="5:5">
      <c r="E123" s="55"/>
    </row>
    <row r="124" spans="5:5">
      <c r="E124" s="55"/>
    </row>
    <row r="125" spans="5:5">
      <c r="E125" s="55"/>
    </row>
    <row r="126" spans="5:5">
      <c r="E126" s="55"/>
    </row>
    <row r="127" spans="5:5">
      <c r="E127" s="55"/>
    </row>
    <row r="128" spans="5:5">
      <c r="E128" s="55"/>
    </row>
    <row r="129" spans="5:5">
      <c r="E129" s="55"/>
    </row>
    <row r="130" spans="5:5">
      <c r="E130" s="55"/>
    </row>
    <row r="131" spans="5:5">
      <c r="E131" s="55"/>
    </row>
    <row r="132" spans="5:5">
      <c r="E132" s="55"/>
    </row>
    <row r="133" spans="5:5">
      <c r="E133" s="55"/>
    </row>
    <row r="134" spans="5:5">
      <c r="E134" s="55"/>
    </row>
    <row r="135" spans="5:5">
      <c r="E135" s="55"/>
    </row>
    <row r="136" spans="5:5">
      <c r="E136" s="55"/>
    </row>
    <row r="137" spans="5:5">
      <c r="E137" s="55"/>
    </row>
    <row r="138" spans="5:5">
      <c r="E138" s="55"/>
    </row>
    <row r="139" spans="5:5">
      <c r="E139" s="55"/>
    </row>
    <row r="140" spans="5:5">
      <c r="E140" s="55"/>
    </row>
    <row r="141" spans="5:5">
      <c r="E141" s="55"/>
    </row>
    <row r="142" spans="5:5">
      <c r="E142" s="55"/>
    </row>
    <row r="143" spans="5:5">
      <c r="E143" s="55"/>
    </row>
    <row r="144" spans="5:5">
      <c r="E144" s="55"/>
    </row>
    <row r="145" spans="5:5">
      <c r="E145" s="55"/>
    </row>
    <row r="146" spans="5:5">
      <c r="E146" s="55"/>
    </row>
    <row r="147" spans="5:5">
      <c r="E147" s="55"/>
    </row>
    <row r="148" spans="5:5">
      <c r="E148" s="55"/>
    </row>
    <row r="149" spans="5:5">
      <c r="E149" s="55"/>
    </row>
    <row r="150" spans="5:5">
      <c r="E150" s="55"/>
    </row>
    <row r="151" spans="5:5">
      <c r="E151" s="55"/>
    </row>
    <row r="152" spans="5:5">
      <c r="E152" s="55"/>
    </row>
    <row r="153" spans="5:5">
      <c r="E153" s="55"/>
    </row>
    <row r="154" spans="5:5">
      <c r="E154" s="55"/>
    </row>
    <row r="155" spans="5:5">
      <c r="E155" s="55"/>
    </row>
    <row r="156" spans="5:5">
      <c r="E156" s="55"/>
    </row>
    <row r="157" spans="5:5">
      <c r="E157" s="55"/>
    </row>
    <row r="158" spans="5:5">
      <c r="E158" s="55"/>
    </row>
    <row r="159" spans="5:5">
      <c r="E159" s="55"/>
    </row>
    <row r="160" spans="5:5">
      <c r="E160" s="55"/>
    </row>
    <row r="161" spans="5:5">
      <c r="E161" s="55"/>
    </row>
    <row r="162" spans="5:5">
      <c r="E162" s="55"/>
    </row>
  </sheetData>
  <autoFilter ref="A1:AT83" xr:uid="{3D578FF1-6752-2740-8263-4263C07762F5}">
    <filterColumn colId="18" showButton="0"/>
    <filterColumn colId="38" showButton="0"/>
    <sortState xmlns:xlrd2="http://schemas.microsoft.com/office/spreadsheetml/2017/richdata2" ref="A2:AT83">
      <sortCondition ref="A1:A83"/>
    </sortState>
  </autoFilter>
  <mergeCells count="2">
    <mergeCell ref="S1:T1"/>
    <mergeCell ref="AM1:AN1"/>
  </mergeCells>
  <phoneticPr fontId="1" type="noConversion"/>
  <pageMargins left="0.78740157480314965" right="0.78740157480314965" top="0.78740157480314965" bottom="0.78740157480314965" header="0.51181102362204722" footer="0.51181102362204722"/>
  <pageSetup paperSize="8" orientation="landscape"/>
  <headerFooter alignWithMargins="0">
    <oddFooter>&amp;R&amp;P&amp;C&amp;14 -009-0269-31-003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C14-E542-9B4C-B5E4-B7DDEA5E33E0}">
  <sheetPr codeName="Лист2"/>
  <dimension ref="A1:X114"/>
  <sheetViews>
    <sheetView tabSelected="1" view="pageBreakPreview" topLeftCell="A25" zoomScale="190" zoomScaleNormal="115" zoomScaleSheetLayoutView="190" zoomScalePageLayoutView="108" workbookViewId="0">
      <selection activeCell="D37" sqref="D37:D38"/>
    </sheetView>
  </sheetViews>
  <sheetFormatPr baseColWidth="10" defaultColWidth="9" defaultRowHeight="11"/>
  <cols>
    <col min="1" max="1" width="2" style="6" customWidth="1"/>
    <col min="2" max="2" width="3.1640625" style="132" customWidth="1"/>
    <col min="3" max="3" width="4.5" style="2" customWidth="1"/>
    <col min="4" max="4" width="15" style="7" customWidth="1"/>
    <col min="5" max="5" width="7" style="7" customWidth="1"/>
    <col min="6" max="6" width="8.33203125" style="8" customWidth="1"/>
    <col min="7" max="7" width="8.6640625" style="8" customWidth="1"/>
    <col min="8" max="8" width="6.83203125" style="8" customWidth="1"/>
    <col min="9" max="9" width="3.33203125" style="52" customWidth="1"/>
    <col min="10" max="12" width="6.5" style="8" customWidth="1"/>
    <col min="13" max="15" width="5" style="8" customWidth="1"/>
    <col min="16" max="17" width="6.5" style="8" customWidth="1"/>
    <col min="18" max="18" width="7" style="8" customWidth="1"/>
    <col min="19" max="19" width="7.1640625" style="8" customWidth="1"/>
    <col min="20" max="20" width="8.5" style="8" customWidth="1"/>
    <col min="21" max="21" width="8.6640625" style="8" customWidth="1"/>
    <col min="22" max="22" width="7" style="8" bestFit="1" customWidth="1"/>
    <col min="23" max="23" width="3.5" style="7" customWidth="1"/>
    <col min="24" max="24" width="5.1640625" style="7" customWidth="1"/>
    <col min="25" max="16384" width="9" style="6"/>
  </cols>
  <sheetData>
    <row r="1" spans="1:24" s="1" customFormat="1" ht="13" customHeight="1">
      <c r="A1" s="122"/>
      <c r="B1" s="121"/>
      <c r="C1" s="123"/>
      <c r="D1" s="123"/>
      <c r="E1" s="124"/>
      <c r="F1" s="124"/>
      <c r="G1" s="124"/>
      <c r="H1" s="59"/>
      <c r="I1" s="124"/>
      <c r="J1" s="124"/>
      <c r="K1" s="124"/>
      <c r="L1" s="124"/>
      <c r="M1" s="124"/>
      <c r="N1" s="125"/>
      <c r="O1" s="125"/>
      <c r="P1" s="125"/>
      <c r="Q1" s="125"/>
      <c r="R1" s="125"/>
      <c r="S1" s="126"/>
      <c r="T1" s="141" t="d">
        <f>Arhive!B1</f>
        <v>2025-10-01</v>
      </c>
      <c r="U1" s="141"/>
      <c r="V1" s="122"/>
    </row>
    <row r="2" spans="1:24" s="1" customFormat="1">
      <c r="B2" s="2" t="str">
        <f>Arhive!B94</f>
        <v>Организация: Товарищество собственников недвижимости "жилищно-строительное товарищество индивидуальных застройщиков "Столетовский"</v>
      </c>
      <c r="C2" s="4"/>
      <c r="D2" s="4"/>
      <c r="E2" s="15"/>
      <c r="F2" s="15"/>
      <c r="G2" s="15"/>
      <c r="H2" s="51"/>
      <c r="I2" s="15"/>
      <c r="J2" s="15"/>
      <c r="K2" s="15"/>
      <c r="L2" s="5"/>
      <c r="M2" s="5"/>
      <c r="N2" s="5"/>
      <c r="O2" s="5"/>
      <c r="P2" s="5"/>
      <c r="Q2" s="5"/>
      <c r="R2" s="5"/>
      <c r="S2" s="5"/>
      <c r="T2" s="5"/>
      <c r="U2" s="5"/>
      <c r="V2" s="3"/>
      <c r="W2" s="3"/>
    </row>
    <row r="3" spans="1:24" s="1" customFormat="1">
      <c r="B3" s="2" t="str">
        <f>Arhive!B95</f>
        <v>ИНН: 9201505978; КПП: 920101001; ФИЛИАЛ "ЦЕНТРАЛЬНЫЙ" БАНКА ВТБ (ПАО) в г. Москве;</v>
      </c>
      <c r="C3" s="4"/>
      <c r="D3" s="4"/>
      <c r="E3" s="15"/>
      <c r="F3" s="15"/>
      <c r="G3" s="15"/>
      <c r="H3" s="51"/>
      <c r="I3" s="15"/>
      <c r="J3" s="1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3"/>
      <c r="W3" s="3"/>
    </row>
    <row r="4" spans="1:24" s="1" customFormat="1">
      <c r="B4" s="2" t="str">
        <f>Arhive!B96</f>
        <v>БИК 044525411; Р/с 40703810824317000026; К/с 30101810145250000411</v>
      </c>
      <c r="C4" s="4"/>
      <c r="D4" s="4"/>
      <c r="E4" s="15"/>
      <c r="F4" s="15"/>
      <c r="G4" s="15"/>
      <c r="H4" s="51"/>
      <c r="I4" s="15"/>
      <c r="J4" s="1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3"/>
      <c r="W4" s="3"/>
    </row>
    <row r="5" spans="1:24" s="1" customFormat="1" ht="12.75" customHeight="1">
      <c r="A5" s="2"/>
      <c r="B5" s="2" t="str">
        <f>Arhive!B97</f>
        <v>тел. +7(978) 812-13-99, e-mail: tsn-gstiz-stoletovskiy@yandex.ru</v>
      </c>
      <c r="C5" s="3"/>
      <c r="D5" s="3"/>
      <c r="E5" s="5"/>
      <c r="F5" s="5"/>
      <c r="G5" s="5"/>
      <c r="H5" s="5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0"/>
      <c r="V5" s="2"/>
      <c r="W5" s="3"/>
    </row>
    <row r="6" spans="1:24" s="1" customFormat="1">
      <c r="A6" s="2"/>
      <c r="B6" s="46"/>
      <c r="C6" s="2"/>
      <c r="D6" s="3"/>
      <c r="E6" s="3"/>
      <c r="F6" s="49"/>
      <c r="G6" s="49"/>
      <c r="H6" s="49"/>
      <c r="I6" s="53"/>
      <c r="J6" s="49"/>
      <c r="K6" s="49"/>
      <c r="L6" s="49"/>
      <c r="M6" s="49"/>
      <c r="N6" s="49"/>
      <c r="O6" s="49"/>
      <c r="P6" s="49"/>
      <c r="Q6" s="49"/>
      <c r="R6" s="49"/>
      <c r="S6" s="5"/>
      <c r="T6" s="5"/>
      <c r="U6" s="5"/>
      <c r="V6" s="50"/>
      <c r="W6" s="2"/>
      <c r="X6" s="3"/>
    </row>
    <row r="7" spans="1:24" s="1" customFormat="1" ht="21.75" customHeight="1">
      <c r="A7" s="20"/>
      <c r="B7" s="149" t="s">
        <v>12</v>
      </c>
      <c r="C7" s="150"/>
      <c r="D7" s="150"/>
      <c r="E7" s="151"/>
      <c r="F7" s="152" t="s">
        <v>2</v>
      </c>
      <c r="G7" s="153"/>
      <c r="H7" s="153"/>
      <c r="I7" s="154"/>
      <c r="J7" s="152" t="s">
        <v>51</v>
      </c>
      <c r="K7" s="153"/>
      <c r="L7" s="154"/>
      <c r="M7" s="152" t="s">
        <v>52</v>
      </c>
      <c r="N7" s="153"/>
      <c r="O7" s="154"/>
      <c r="P7" s="152" t="s">
        <v>32</v>
      </c>
      <c r="Q7" s="153"/>
      <c r="R7" s="154"/>
      <c r="S7" s="144" t="s">
        <v>35</v>
      </c>
      <c r="T7" s="156" t="s">
        <v>33</v>
      </c>
      <c r="U7" s="144" t="s">
        <v>9</v>
      </c>
      <c r="V7" s="144" t="s">
        <v>10</v>
      </c>
      <c r="W7" s="20"/>
    </row>
    <row r="8" spans="1:24" ht="30.75" customHeight="1">
      <c r="A8" s="7"/>
      <c r="B8" s="12" t="s">
        <v>36</v>
      </c>
      <c r="C8" s="10" t="s">
        <v>13</v>
      </c>
      <c r="D8" s="9" t="s">
        <v>16</v>
      </c>
      <c r="E8" s="17" t="s">
        <v>1</v>
      </c>
      <c r="F8" s="65" t="s">
        <v>8</v>
      </c>
      <c r="G8" s="65" t="s">
        <v>7</v>
      </c>
      <c r="H8" s="65" t="s">
        <v>31</v>
      </c>
      <c r="I8" s="66" t="s">
        <v>34</v>
      </c>
      <c r="J8" s="65" t="s">
        <v>5</v>
      </c>
      <c r="K8" s="65" t="s">
        <v>6</v>
      </c>
      <c r="L8" s="65" t="s">
        <v>11</v>
      </c>
      <c r="M8" s="65" t="s">
        <v>5</v>
      </c>
      <c r="N8" s="65" t="s">
        <v>6</v>
      </c>
      <c r="O8" s="65" t="s">
        <v>11</v>
      </c>
      <c r="P8" s="67" t="s">
        <v>5</v>
      </c>
      <c r="Q8" s="67" t="s">
        <v>6</v>
      </c>
      <c r="R8" s="67" t="s">
        <v>11</v>
      </c>
      <c r="S8" s="145"/>
      <c r="T8" s="157"/>
      <c r="U8" s="145"/>
      <c r="V8" s="145"/>
      <c r="W8" s="6"/>
      <c r="X8" s="6"/>
    </row>
    <row r="9" spans="1:24" s="23" customFormat="1" ht="9.75" customHeight="1">
      <c r="A9" s="21"/>
      <c r="B9" s="44" t="s">
        <v>37</v>
      </c>
      <c r="C9" s="16">
        <v>2</v>
      </c>
      <c r="D9" s="22" t="s">
        <v>39</v>
      </c>
      <c r="E9" s="21" t="s">
        <v>40</v>
      </c>
      <c r="F9" s="16">
        <v>5</v>
      </c>
      <c r="G9" s="16">
        <v>6</v>
      </c>
      <c r="H9" s="21" t="s">
        <v>41</v>
      </c>
      <c r="I9" s="16">
        <v>8</v>
      </c>
      <c r="J9" s="21" t="s">
        <v>43</v>
      </c>
      <c r="K9" s="16">
        <v>10</v>
      </c>
      <c r="L9" s="21" t="s">
        <v>45</v>
      </c>
      <c r="M9" s="16">
        <v>12</v>
      </c>
      <c r="N9" s="21" t="s">
        <v>46</v>
      </c>
      <c r="O9" s="16">
        <v>14</v>
      </c>
      <c r="P9" s="21" t="s">
        <v>47</v>
      </c>
      <c r="Q9" s="16">
        <v>16</v>
      </c>
      <c r="R9" s="21" t="s">
        <v>48</v>
      </c>
      <c r="S9" s="16">
        <v>18</v>
      </c>
      <c r="T9" s="21" t="s">
        <v>49</v>
      </c>
      <c r="U9" s="16">
        <v>20</v>
      </c>
      <c r="V9" s="103" t="s">
        <v>50</v>
      </c>
      <c r="W9" s="104"/>
    </row>
    <row r="10" spans="1:24" s="23" customFormat="1" ht="9.75" customHeight="1">
      <c r="A10" s="21"/>
      <c r="B10" s="139">
        <f>Arhive!A2</f>
        <v>1</v>
      </c>
      <c r="C10" s="147">
        <f>Arhive!G2</f>
        <v>21</v>
      </c>
      <c r="D10" s="158" t="s">
        <v>54</v>
      </c>
      <c r="E10" s="12" t="s">
        <v>3</v>
      </c>
      <c r="F10" s="55">
        <f>Arhive!C2</f>
        <v>683.9</v>
      </c>
      <c r="G10" s="54">
        <f>Arhive!D2</f>
        <v>678.15</v>
      </c>
      <c r="H10" s="54">
        <f t="shared" ref="H10:H41" si="0">F10-G10</f>
        <v>5.75</v>
      </c>
      <c r="I10" s="56">
        <f>IF(H10=0,0,H10*100/(H10+H11))</f>
        <v>92.891760904685015</v>
      </c>
      <c r="J10" s="54">
        <f>IF((H10+H11)&gt;150,IF(H10=0,0,H10*100/(H10+H11)*150/100),H10)</f>
        <v>5.75</v>
      </c>
      <c r="K10" s="54">
        <f>IF(H10+H11&lt;600,H10-J10,450*(IF(H10=0,0,H10*100/(H10+H11)))/100)</f>
        <v>0</v>
      </c>
      <c r="L10" s="54">
        <f>H10-J10-K10</f>
        <v>0</v>
      </c>
      <c r="M10" s="54">
        <v>5.05</v>
      </c>
      <c r="N10" s="54">
        <v>5.47</v>
      </c>
      <c r="O10" s="54">
        <v>9.4</v>
      </c>
      <c r="P10" s="54">
        <f t="shared" ref="P10:P41" si="1">IF(H10&lt;J10,H10*M10,J10*M10)</f>
        <v>29.037499999999998</v>
      </c>
      <c r="Q10" s="54">
        <f t="shared" ref="Q10:Q41" si="2">IF(K10&lt;0,0,K10*N10)</f>
        <v>0</v>
      </c>
      <c r="R10" s="54">
        <f t="shared" ref="R10:R41" si="3">IF(L10&lt;0,0,L10*O10)</f>
        <v>0</v>
      </c>
      <c r="S10" s="143">
        <f>ROUND(SUM(P10:R11),2)</f>
        <v>30.59</v>
      </c>
      <c r="T10" s="143">
        <f>Arhive!E2</f>
        <v>-282.56999999999988</v>
      </c>
      <c r="U10" s="143">
        <f>Arhive!F2</f>
        <v>500</v>
      </c>
      <c r="V10" s="143">
        <f>SUM(S10:T11)-U10</f>
        <v>-751.9799999999999</v>
      </c>
      <c r="W10" s="6"/>
      <c r="X10" s="6"/>
    </row>
    <row r="11" spans="1:24" s="23" customFormat="1" ht="9.75" customHeight="1">
      <c r="A11" s="21"/>
      <c r="B11" s="140" t="s">
        <v>37</v>
      </c>
      <c r="C11" s="147"/>
      <c r="D11" s="159" t="str">
        <f>D10</f>
        <v>Гаценко Н.Г.</v>
      </c>
      <c r="E11" s="12" t="s">
        <v>4</v>
      </c>
      <c r="F11" s="55">
        <f>Arhive!C3</f>
        <v>105.13</v>
      </c>
      <c r="G11" s="54">
        <f>Arhive!D3</f>
        <v>104.69</v>
      </c>
      <c r="H11" s="54">
        <f t="shared" si="0"/>
        <v>0.43999999999999773</v>
      </c>
      <c r="I11" s="56">
        <f>IF(H11=0,0,H11*100/(H11+H10))</f>
        <v>7.1082390953149899</v>
      </c>
      <c r="J11" s="54">
        <f>IF((H10+H11)&gt;150,IF(H10=0,0,H11*100/(H10+H11)*150/100),H11)</f>
        <v>0.43999999999999773</v>
      </c>
      <c r="K11" s="54">
        <f>IF(H11+H10&lt;600,H11-J11,450*(IF(H11=0,0,H11*100/(H11+H10)))/100)</f>
        <v>0</v>
      </c>
      <c r="L11" s="54">
        <f>H11-K11-J11</f>
        <v>0</v>
      </c>
      <c r="M11" s="54">
        <v>3.52</v>
      </c>
      <c r="N11" s="54">
        <v>4.21</v>
      </c>
      <c r="O11" s="54">
        <v>6.99</v>
      </c>
      <c r="P11" s="54">
        <f t="shared" si="1"/>
        <v>1.548799999999992</v>
      </c>
      <c r="Q11" s="54">
        <f t="shared" si="2"/>
        <v>0</v>
      </c>
      <c r="R11" s="54">
        <f t="shared" si="3"/>
        <v>0</v>
      </c>
      <c r="S11" s="143"/>
      <c r="T11" s="143"/>
      <c r="U11" s="143"/>
      <c r="V11" s="143"/>
      <c r="W11" s="6"/>
      <c r="X11" s="6"/>
    </row>
    <row r="12" spans="1:24" s="23" customFormat="1" ht="9.75" customHeight="1">
      <c r="A12" s="21"/>
      <c r="B12" s="139">
        <f>Arhive!A4</f>
        <v>2</v>
      </c>
      <c r="C12" s="147">
        <f>Arhive!G4</f>
        <v>54</v>
      </c>
      <c r="D12" s="155" t="s">
        <v>55</v>
      </c>
      <c r="E12" s="12" t="s">
        <v>3</v>
      </c>
      <c r="F12" s="55">
        <f>Arhive!C4</f>
        <v>0</v>
      </c>
      <c r="G12" s="54">
        <f>Arhive!D4</f>
        <v>0</v>
      </c>
      <c r="H12" s="54">
        <f t="shared" si="0"/>
        <v>0</v>
      </c>
      <c r="I12" s="56">
        <f>IF(H12=0,0,H12*100/(H12+H13))</f>
        <v>0</v>
      </c>
      <c r="J12" s="54">
        <f>IF((H12+H13)&gt;150,IF(H12=0,0,H12*100/(H12+H13)*150/100),H12)</f>
        <v>0</v>
      </c>
      <c r="K12" s="54">
        <f>IF(H12+H13&lt;600,H12-J12,450*(IF(H12=0,0,H12*100/(H12+H13)))/100)</f>
        <v>0</v>
      </c>
      <c r="L12" s="54">
        <f>H12-J12-K12</f>
        <v>0</v>
      </c>
      <c r="M12" s="54">
        <v>5.05</v>
      </c>
      <c r="N12" s="54">
        <v>5.47</v>
      </c>
      <c r="O12" s="54">
        <v>9.4</v>
      </c>
      <c r="P12" s="54">
        <f t="shared" si="1"/>
        <v>0</v>
      </c>
      <c r="Q12" s="54">
        <f t="shared" si="2"/>
        <v>0</v>
      </c>
      <c r="R12" s="54">
        <f t="shared" si="3"/>
        <v>0</v>
      </c>
      <c r="S12" s="146">
        <f>ROUND(SUM(P12:R13),2)</f>
        <v>0</v>
      </c>
      <c r="T12" s="143">
        <f>Arhive!E4</f>
        <v>0</v>
      </c>
      <c r="U12" s="143">
        <f>Arhive!F8</f>
        <v>0</v>
      </c>
      <c r="V12" s="146">
        <f>SUM(S12:T13)-U12</f>
        <v>0</v>
      </c>
      <c r="W12" s="6"/>
      <c r="X12" s="6"/>
    </row>
    <row r="13" spans="1:24" s="23" customFormat="1" ht="9.75" customHeight="1">
      <c r="A13" s="21"/>
      <c r="B13" s="140" t="s">
        <v>38</v>
      </c>
      <c r="C13" s="147"/>
      <c r="D13" s="155" t="str">
        <f>D12</f>
        <v>Дикарев А.А.</v>
      </c>
      <c r="E13" s="12" t="s">
        <v>4</v>
      </c>
      <c r="F13" s="55">
        <f>Arhive!C5</f>
        <v>0</v>
      </c>
      <c r="G13" s="54">
        <f>Arhive!D5</f>
        <v>0</v>
      </c>
      <c r="H13" s="54">
        <f t="shared" si="0"/>
        <v>0</v>
      </c>
      <c r="I13" s="56">
        <f>IF(H13=0,0,H13*100/(H13+H12))</f>
        <v>0</v>
      </c>
      <c r="J13" s="54">
        <f>IF((H12+H13)&gt;150,IF(H12=0,0,H13*100/(H12+H13)*150/100),H13)</f>
        <v>0</v>
      </c>
      <c r="K13" s="54">
        <f>IF(H13+H12&lt;600,H13-J13,450*(IF(H13=0,0,H13*100/(H13+H12)))/100)</f>
        <v>0</v>
      </c>
      <c r="L13" s="54">
        <f>H13-K13-J13</f>
        <v>0</v>
      </c>
      <c r="M13" s="54">
        <v>3.52</v>
      </c>
      <c r="N13" s="54">
        <v>4.21</v>
      </c>
      <c r="O13" s="54">
        <v>6.99</v>
      </c>
      <c r="P13" s="54">
        <f t="shared" si="1"/>
        <v>0</v>
      </c>
      <c r="Q13" s="54">
        <f t="shared" si="2"/>
        <v>0</v>
      </c>
      <c r="R13" s="54">
        <f t="shared" si="3"/>
        <v>0</v>
      </c>
      <c r="S13" s="146"/>
      <c r="T13" s="143"/>
      <c r="U13" s="143"/>
      <c r="V13" s="146"/>
      <c r="W13" s="6"/>
      <c r="X13" s="6"/>
    </row>
    <row r="14" spans="1:24" s="23" customFormat="1" ht="9.75" customHeight="1">
      <c r="A14" s="21"/>
      <c r="B14" s="139">
        <f>Arhive!A6</f>
        <v>3</v>
      </c>
      <c r="C14" s="147">
        <f>Arhive!G6</f>
        <v>51</v>
      </c>
      <c r="D14" s="155" t="s">
        <v>56</v>
      </c>
      <c r="E14" s="12" t="s">
        <v>3</v>
      </c>
      <c r="F14" s="55">
        <f>Arhive!C6</f>
        <v>23549.72</v>
      </c>
      <c r="G14" s="54">
        <f>Arhive!D6</f>
        <v>23280.28</v>
      </c>
      <c r="H14" s="54">
        <f t="shared" si="0"/>
        <v>269.44000000000233</v>
      </c>
      <c r="I14" s="56">
        <f>IF(H14=0,0,H14*100/(H14+H15))</f>
        <v>58.930055553125534</v>
      </c>
      <c r="J14" s="54">
        <f>IF((H14+H15)&gt;150,IF(H14=0,0,H14*100/(H14+H15)*150/100),H14)</f>
        <v>88.395083329688291</v>
      </c>
      <c r="K14" s="54">
        <f>IF(H14+H15&lt;600,H14-J14,450*(IF(H14=0,0,H14*100/(H14+H15)))/100)</f>
        <v>181.04491667031402</v>
      </c>
      <c r="L14" s="54">
        <f>H14-J14-K14</f>
        <v>0</v>
      </c>
      <c r="M14" s="54">
        <v>5.05</v>
      </c>
      <c r="N14" s="54">
        <v>5.47</v>
      </c>
      <c r="O14" s="54">
        <v>9.4</v>
      </c>
      <c r="P14" s="54">
        <f t="shared" si="1"/>
        <v>446.39517081492585</v>
      </c>
      <c r="Q14" s="54">
        <f t="shared" si="2"/>
        <v>990.31569418661763</v>
      </c>
      <c r="R14" s="54">
        <f t="shared" si="3"/>
        <v>0</v>
      </c>
      <c r="S14" s="143">
        <f>ROUND(SUM(P14:R15),2)</f>
        <v>2184.7600000000002</v>
      </c>
      <c r="T14" s="143">
        <f>Arhive!E6</f>
        <v>8160.23</v>
      </c>
      <c r="U14" s="143">
        <f>Arhive!F6</f>
        <v>0</v>
      </c>
      <c r="V14" s="146">
        <f>SUM(S14:T15)-U14</f>
        <v>10344.99</v>
      </c>
      <c r="W14" s="6"/>
      <c r="X14" s="6"/>
    </row>
    <row r="15" spans="1:24" s="23" customFormat="1" ht="9.75" customHeight="1">
      <c r="A15" s="21"/>
      <c r="B15" s="140" t="s">
        <v>39</v>
      </c>
      <c r="C15" s="147"/>
      <c r="D15" s="155" t="str">
        <f>D14</f>
        <v>Дмитриев А.В.</v>
      </c>
      <c r="E15" s="12" t="s">
        <v>4</v>
      </c>
      <c r="F15" s="55">
        <f>Arhive!C7</f>
        <v>8771.92</v>
      </c>
      <c r="G15" s="54">
        <f>Arhive!D7</f>
        <v>8584.14</v>
      </c>
      <c r="H15" s="54">
        <f t="shared" si="0"/>
        <v>187.78000000000065</v>
      </c>
      <c r="I15" s="56">
        <f>IF(H15=0,0,H15*100/(H15+H14))</f>
        <v>41.069944446874466</v>
      </c>
      <c r="J15" s="54">
        <f>IF((H14+H15)&gt;150,IF(H14=0,0,H15*100/(H14+H15)*150/100),H15)</f>
        <v>61.604916670311695</v>
      </c>
      <c r="K15" s="54">
        <f>IF(H15+H14&lt;600,H15-J15,450*(IF(H15=0,0,H15*100/(H15+H14)))/100)</f>
        <v>126.17508332968896</v>
      </c>
      <c r="L15" s="54">
        <f>H15-K15-J15</f>
        <v>0</v>
      </c>
      <c r="M15" s="54">
        <v>3.52</v>
      </c>
      <c r="N15" s="54">
        <v>4.21</v>
      </c>
      <c r="O15" s="54">
        <v>6.99</v>
      </c>
      <c r="P15" s="54">
        <f t="shared" si="1"/>
        <v>216.84930667949718</v>
      </c>
      <c r="Q15" s="54">
        <f t="shared" si="2"/>
        <v>531.19710081799053</v>
      </c>
      <c r="R15" s="54">
        <f t="shared" si="3"/>
        <v>0</v>
      </c>
      <c r="S15" s="143"/>
      <c r="T15" s="143"/>
      <c r="U15" s="143"/>
      <c r="V15" s="146"/>
      <c r="W15" s="6"/>
      <c r="X15" s="6"/>
    </row>
    <row r="16" spans="1:24" s="23" customFormat="1" ht="9.75" customHeight="1">
      <c r="A16" s="21"/>
      <c r="B16" s="139">
        <f>Arhive!A8</f>
        <v>4</v>
      </c>
      <c r="C16" s="147">
        <f>Arhive!G8</f>
        <v>35</v>
      </c>
      <c r="D16" s="148" t="s">
        <v>57</v>
      </c>
      <c r="E16" s="12" t="s">
        <v>3</v>
      </c>
      <c r="F16" s="55">
        <f>Arhive!C8</f>
        <v>20395.7</v>
      </c>
      <c r="G16" s="54">
        <f>Arhive!D8</f>
        <v>20213.43</v>
      </c>
      <c r="H16" s="54">
        <f t="shared" si="0"/>
        <v>182.27000000000044</v>
      </c>
      <c r="I16" s="56">
        <f>IF(H16=0,0,H16*100/(H16+H17))</f>
        <v>72.597283626080369</v>
      </c>
      <c r="J16" s="54">
        <f>IF((H16+H17)&gt;150,IF(H16=0,0,H16*100/(H16+H17)*150/100),H16)</f>
        <v>108.89592543912055</v>
      </c>
      <c r="K16" s="54">
        <f>IF(H16+H17&lt;600,H16-J16,450*(IF(H16=0,0,H16*100/(H16+H17)))/100)</f>
        <v>73.37407456087989</v>
      </c>
      <c r="L16" s="54">
        <f>H16-J16-K16</f>
        <v>0</v>
      </c>
      <c r="M16" s="54">
        <v>5.05</v>
      </c>
      <c r="N16" s="54">
        <v>5.47</v>
      </c>
      <c r="O16" s="54">
        <v>9.4</v>
      </c>
      <c r="P16" s="54">
        <f t="shared" si="1"/>
        <v>549.92442346755877</v>
      </c>
      <c r="Q16" s="54">
        <f t="shared" si="2"/>
        <v>401.35618784801301</v>
      </c>
      <c r="R16" s="54">
        <f t="shared" si="3"/>
        <v>0</v>
      </c>
      <c r="S16" s="143">
        <f>ROUND(SUM(P16:R17),2)</f>
        <v>1212.57</v>
      </c>
      <c r="T16" s="143">
        <f>Arhive!E8</f>
        <v>2391.64</v>
      </c>
      <c r="U16" s="143">
        <f>Arhive!F8</f>
        <v>0</v>
      </c>
      <c r="V16" s="143">
        <f>SUM(S16:T17)-U16</f>
        <v>3604.21</v>
      </c>
      <c r="W16" s="6"/>
      <c r="X16" s="6"/>
    </row>
    <row r="17" spans="1:24" s="23" customFormat="1" ht="9.75" customHeight="1">
      <c r="A17" s="21"/>
      <c r="B17" s="140" t="s">
        <v>39</v>
      </c>
      <c r="C17" s="147"/>
      <c r="D17" s="148" t="str">
        <f>D16</f>
        <v>Егоров Е.Ю.</v>
      </c>
      <c r="E17" s="12" t="s">
        <v>4</v>
      </c>
      <c r="F17" s="55">
        <f>Arhive!C9</f>
        <v>5911.38</v>
      </c>
      <c r="G17" s="54">
        <f>Arhive!D9</f>
        <v>5842.58</v>
      </c>
      <c r="H17" s="54">
        <f t="shared" si="0"/>
        <v>68.800000000000182</v>
      </c>
      <c r="I17" s="56">
        <f>IF(H17=0,0,H17*100/(H17+H16))</f>
        <v>27.402716373919628</v>
      </c>
      <c r="J17" s="54">
        <f>IF((H16+H17)&gt;150,IF(H16=0,0,H17*100/(H16+H17)*150/100),H17)</f>
        <v>41.104074560879447</v>
      </c>
      <c r="K17" s="54">
        <f>IF(H17+H16&lt;600,H17-J17,450*(IF(H17=0,0,H17*100/(H17+H16)))/100)</f>
        <v>27.695925439120735</v>
      </c>
      <c r="L17" s="54">
        <f>H17-K17-J17</f>
        <v>0</v>
      </c>
      <c r="M17" s="54">
        <v>3.52</v>
      </c>
      <c r="N17" s="54">
        <v>4.21</v>
      </c>
      <c r="O17" s="54">
        <v>6.99</v>
      </c>
      <c r="P17" s="54">
        <f t="shared" si="1"/>
        <v>144.68634245429564</v>
      </c>
      <c r="Q17" s="54">
        <f t="shared" si="2"/>
        <v>116.59984609869829</v>
      </c>
      <c r="R17" s="54">
        <f t="shared" si="3"/>
        <v>0</v>
      </c>
      <c r="S17" s="143"/>
      <c r="T17" s="143"/>
      <c r="U17" s="143"/>
      <c r="V17" s="143"/>
      <c r="W17" s="6"/>
      <c r="X17" s="6"/>
    </row>
    <row r="18" spans="1:24" s="23" customFormat="1" ht="9.75" customHeight="1">
      <c r="A18" s="21"/>
      <c r="B18" s="139">
        <f>Arhive!A10</f>
        <v>5</v>
      </c>
      <c r="C18" s="147">
        <f>Arhive!G10</f>
        <v>46</v>
      </c>
      <c r="D18" s="148" t="s">
        <v>58</v>
      </c>
      <c r="E18" s="12" t="s">
        <v>3</v>
      </c>
      <c r="F18" s="55">
        <f>Arhive!C10</f>
        <v>2980.63</v>
      </c>
      <c r="G18" s="54">
        <f>Arhive!D10</f>
        <v>2953.62</v>
      </c>
      <c r="H18" s="54">
        <f t="shared" si="0"/>
        <v>27.010000000000218</v>
      </c>
      <c r="I18" s="56">
        <f>IF(H18=0,0,H18*100/(H18+H19))</f>
        <v>84.406250000000085</v>
      </c>
      <c r="J18" s="54">
        <f>IF((H18+H19)&gt;150,IF(H18=0,0,H18*100/(H18+H19)*150/100),H18)</f>
        <v>27.010000000000218</v>
      </c>
      <c r="K18" s="54">
        <f>IF(H18+H19&lt;600,H18-J18,450*(IF(H18=0,0,H18*100/(H18+H19)))/100)</f>
        <v>0</v>
      </c>
      <c r="L18" s="54">
        <f>H18-J18-K18</f>
        <v>0</v>
      </c>
      <c r="M18" s="54">
        <v>5.05</v>
      </c>
      <c r="N18" s="54">
        <v>5.47</v>
      </c>
      <c r="O18" s="54">
        <v>9.4</v>
      </c>
      <c r="P18" s="54">
        <f t="shared" si="1"/>
        <v>136.4005000000011</v>
      </c>
      <c r="Q18" s="54">
        <f t="shared" si="2"/>
        <v>0</v>
      </c>
      <c r="R18" s="54">
        <f t="shared" si="3"/>
        <v>0</v>
      </c>
      <c r="S18" s="143">
        <f>ROUND(SUM(P18:R19),2)</f>
        <v>153.97</v>
      </c>
      <c r="T18" s="143">
        <f>Arhive!E10</f>
        <v>-299.95</v>
      </c>
      <c r="U18" s="143">
        <f>Arhive!F10</f>
        <v>0</v>
      </c>
      <c r="V18" s="143">
        <f>SUM(S18:T19)-U18</f>
        <v>-145.97999999999999</v>
      </c>
      <c r="W18" s="6"/>
      <c r="X18" s="6"/>
    </row>
    <row r="19" spans="1:24" s="23" customFormat="1" ht="9.75" customHeight="1">
      <c r="A19" s="21"/>
      <c r="B19" s="140" t="s">
        <v>39</v>
      </c>
      <c r="C19" s="147"/>
      <c r="D19" s="148" t="str">
        <f>D18</f>
        <v>Ефимов В.В.</v>
      </c>
      <c r="E19" s="12" t="s">
        <v>4</v>
      </c>
      <c r="F19" s="55">
        <f>Arhive!C11</f>
        <v>561.35</v>
      </c>
      <c r="G19" s="54">
        <f>Arhive!D11</f>
        <v>556.36</v>
      </c>
      <c r="H19" s="54">
        <f t="shared" si="0"/>
        <v>4.9900000000000091</v>
      </c>
      <c r="I19" s="56">
        <f>IF(H19=0,0,H19*100/(H19+H18))</f>
        <v>15.593749999999918</v>
      </c>
      <c r="J19" s="54">
        <f>IF((H18+H19)&gt;150,IF(H18=0,0,H19*100/(H18+H19)*150/100),H19)</f>
        <v>4.9900000000000091</v>
      </c>
      <c r="K19" s="54">
        <f>IF(H19+H18&lt;600,H19-J19,450*(IF(H19=0,0,H19*100/(H19+H18)))/100)</f>
        <v>0</v>
      </c>
      <c r="L19" s="54">
        <f>H19-K19-J19</f>
        <v>0</v>
      </c>
      <c r="M19" s="54">
        <v>3.52</v>
      </c>
      <c r="N19" s="54">
        <v>4.21</v>
      </c>
      <c r="O19" s="54">
        <v>6.99</v>
      </c>
      <c r="P19" s="54">
        <f t="shared" si="1"/>
        <v>17.564800000000034</v>
      </c>
      <c r="Q19" s="54">
        <f t="shared" si="2"/>
        <v>0</v>
      </c>
      <c r="R19" s="54">
        <f t="shared" si="3"/>
        <v>0</v>
      </c>
      <c r="S19" s="143"/>
      <c r="T19" s="143"/>
      <c r="U19" s="143"/>
      <c r="V19" s="143"/>
      <c r="W19" s="6"/>
      <c r="X19" s="6"/>
    </row>
    <row r="20" spans="1:24" s="23" customFormat="1" ht="9.75" customHeight="1">
      <c r="A20" s="21"/>
      <c r="B20" s="10">
        <f>Arhive!A12</f>
        <v>6</v>
      </c>
      <c r="C20" s="16">
        <f>Arhive!G12</f>
        <v>17</v>
      </c>
      <c r="D20" s="9" t="s">
        <v>59</v>
      </c>
      <c r="E20" s="12" t="s">
        <v>27</v>
      </c>
      <c r="F20" s="55">
        <f>Arhive!C12</f>
        <v>10011.4</v>
      </c>
      <c r="G20" s="54">
        <f>Arhive!D12</f>
        <v>9822.7999999999993</v>
      </c>
      <c r="H20" s="54">
        <f t="shared" si="0"/>
        <v>188.60000000000036</v>
      </c>
      <c r="I20" s="56">
        <f>IF(H20=0,0,H20*100/H20)</f>
        <v>100</v>
      </c>
      <c r="J20" s="54">
        <f>IF(H20&gt;150,IF(H20=0,0,H20*100/H20*150/100),H20)</f>
        <v>150</v>
      </c>
      <c r="K20" s="54">
        <f>IF(H20&lt;600,H20-J20,450*(IF(H20=0,0,H20*100/H20))/100)</f>
        <v>38.600000000000364</v>
      </c>
      <c r="L20" s="54">
        <f>H20-J20-K20</f>
        <v>0</v>
      </c>
      <c r="M20" s="54">
        <v>5.05</v>
      </c>
      <c r="N20" s="54">
        <v>5.47</v>
      </c>
      <c r="O20" s="54">
        <v>9.4</v>
      </c>
      <c r="P20" s="54">
        <f t="shared" si="1"/>
        <v>757.5</v>
      </c>
      <c r="Q20" s="54">
        <f t="shared" si="2"/>
        <v>211.14200000000199</v>
      </c>
      <c r="R20" s="54">
        <f t="shared" si="3"/>
        <v>0</v>
      </c>
      <c r="S20" s="54">
        <f>ROUND(SUM(P20:R20),2)</f>
        <v>968.64</v>
      </c>
      <c r="T20" s="54">
        <f>Arhive!E12</f>
        <v>-1452.49</v>
      </c>
      <c r="U20" s="54">
        <f>Arhive!F12</f>
        <v>0</v>
      </c>
      <c r="V20" s="54">
        <f>SUM(S20:T20)-U20</f>
        <v>-483.85</v>
      </c>
      <c r="W20" s="6"/>
      <c r="X20" s="6"/>
    </row>
    <row r="21" spans="1:24" s="23" customFormat="1" ht="9.75" customHeight="1">
      <c r="A21" s="21"/>
      <c r="B21" s="164">
        <f>Arhive!A13</f>
        <v>7</v>
      </c>
      <c r="C21" s="147">
        <f>Arhive!G13</f>
        <v>3</v>
      </c>
      <c r="D21" s="148" t="s">
        <v>60</v>
      </c>
      <c r="E21" s="12" t="s">
        <v>3</v>
      </c>
      <c r="F21" s="55">
        <f>Arhive!C13</f>
        <v>20682.759999999998</v>
      </c>
      <c r="G21" s="54">
        <f>Arhive!D13</f>
        <v>20464.02</v>
      </c>
      <c r="H21" s="54">
        <f t="shared" si="0"/>
        <v>218.73999999999796</v>
      </c>
      <c r="I21" s="56">
        <f>IF(H21=0,0,H21*100/(H21+H22))</f>
        <v>75.196809790642433</v>
      </c>
      <c r="J21" s="54">
        <f>IF((H21+H22)&gt;150,IF(H21=0,0,H21*100/(H21+H22)*150/100),H21)</f>
        <v>112.79521468596366</v>
      </c>
      <c r="K21" s="54">
        <f>IF(H21+H22&lt;600,H21-J21,450*(IF(H21=0,0,H21*100/(H21+H22)))/100)</f>
        <v>105.94478531403431</v>
      </c>
      <c r="L21" s="54">
        <f>H21-J21-K21</f>
        <v>0</v>
      </c>
      <c r="M21" s="54">
        <v>5.05</v>
      </c>
      <c r="N21" s="54">
        <v>5.47</v>
      </c>
      <c r="O21" s="54">
        <v>9.4</v>
      </c>
      <c r="P21" s="54">
        <f t="shared" si="1"/>
        <v>569.61583416411645</v>
      </c>
      <c r="Q21" s="54">
        <f t="shared" si="2"/>
        <v>579.51797566776759</v>
      </c>
      <c r="R21" s="54">
        <f t="shared" si="3"/>
        <v>0</v>
      </c>
      <c r="S21" s="143">
        <f>ROUND(SUM(P21:R22),2)</f>
        <v>1427.21</v>
      </c>
      <c r="T21" s="143">
        <f>Arhive!E13</f>
        <v>1079.5599999999995</v>
      </c>
      <c r="U21" s="143">
        <f>Arhive!F13</f>
        <v>1081.4000000000001</v>
      </c>
      <c r="V21" s="143">
        <f>SUM(S21:T22)-U21</f>
        <v>1425.3699999999994</v>
      </c>
      <c r="W21" s="6"/>
      <c r="X21" s="6"/>
    </row>
    <row r="22" spans="1:24" s="23" customFormat="1" ht="9.75" customHeight="1">
      <c r="A22" s="21"/>
      <c r="B22" s="164" t="s">
        <v>41</v>
      </c>
      <c r="C22" s="147"/>
      <c r="D22" s="148" t="str">
        <f>D21</f>
        <v>Зырянов Д.Н.</v>
      </c>
      <c r="E22" s="12" t="s">
        <v>4</v>
      </c>
      <c r="F22" s="55">
        <f>Arhive!C14</f>
        <v>6661.37</v>
      </c>
      <c r="G22" s="54">
        <f>Arhive!D14</f>
        <v>6589.22</v>
      </c>
      <c r="H22" s="54">
        <f t="shared" si="0"/>
        <v>72.149999999999636</v>
      </c>
      <c r="I22" s="56">
        <f>IF(H22=0,0,H22*100/(H22+H21))</f>
        <v>24.80319020935757</v>
      </c>
      <c r="J22" s="54">
        <f>IF((H21+H22)&gt;150,IF(H21=0,0,H22*100/(H21+H22)*150/100),H22)</f>
        <v>37.20478531403635</v>
      </c>
      <c r="K22" s="54">
        <f>IF(H22+H21&lt;600,H22-J22,450*(IF(H22=0,0,H22*100/(H22+H21)))/100)</f>
        <v>34.945214685963286</v>
      </c>
      <c r="L22" s="54">
        <f>H22-K22-J22</f>
        <v>0</v>
      </c>
      <c r="M22" s="54">
        <v>3.52</v>
      </c>
      <c r="N22" s="54">
        <v>4.21</v>
      </c>
      <c r="O22" s="54">
        <v>6.99</v>
      </c>
      <c r="P22" s="54">
        <f t="shared" si="1"/>
        <v>130.96084430540796</v>
      </c>
      <c r="Q22" s="54">
        <f t="shared" si="2"/>
        <v>147.11935382790543</v>
      </c>
      <c r="R22" s="54">
        <f t="shared" si="3"/>
        <v>0</v>
      </c>
      <c r="S22" s="143"/>
      <c r="T22" s="143"/>
      <c r="U22" s="143"/>
      <c r="V22" s="143"/>
      <c r="W22" s="6"/>
      <c r="X22" s="6"/>
    </row>
    <row r="23" spans="1:24" s="23" customFormat="1" ht="9.75" customHeight="1">
      <c r="A23" s="21"/>
      <c r="B23" s="164">
        <f>Arhive!A15</f>
        <v>8</v>
      </c>
      <c r="C23" s="147">
        <f>Arhive!G15</f>
        <v>44</v>
      </c>
      <c r="D23" s="148" t="str">
        <f>Arhive!B15</f>
        <v>Кавун А.И.</v>
      </c>
      <c r="E23" s="12" t="s">
        <v>3</v>
      </c>
      <c r="F23" s="55">
        <f>Arhive!C15</f>
        <v>12116.96</v>
      </c>
      <c r="G23" s="54">
        <f>Arhive!D15</f>
        <v>11948.97</v>
      </c>
      <c r="H23" s="54">
        <f t="shared" si="0"/>
        <v>167.98999999999978</v>
      </c>
      <c r="I23" s="56">
        <f>IF(H23=0,0,H23*100/(H23+H24))</f>
        <v>76.217050043101437</v>
      </c>
      <c r="J23" s="54">
        <f>IF((H23+H24)&gt;150,IF(H23=0,0,H23*100/(H23+H24)*150/100),H23)</f>
        <v>114.32557506465214</v>
      </c>
      <c r="K23" s="54">
        <f>IF(H23+H24&lt;600,H23-J23,450*(IF(H23=0,0,H23*100/(H23+H24)))/100)</f>
        <v>53.66442493534764</v>
      </c>
      <c r="L23" s="54">
        <f>H23-J23-K23</f>
        <v>0</v>
      </c>
      <c r="M23" s="54">
        <v>5.05</v>
      </c>
      <c r="N23" s="54">
        <v>5.47</v>
      </c>
      <c r="O23" s="54">
        <v>9.4</v>
      </c>
      <c r="P23" s="54">
        <f t="shared" si="1"/>
        <v>577.34415407649328</v>
      </c>
      <c r="Q23" s="54">
        <f t="shared" si="2"/>
        <v>293.54440439635158</v>
      </c>
      <c r="R23" s="54">
        <f t="shared" si="3"/>
        <v>0</v>
      </c>
      <c r="S23" s="143">
        <f>ROUND(SUM(P23:R24),2)</f>
        <v>1066.96</v>
      </c>
      <c r="T23" s="143">
        <f>Arhive!E15</f>
        <v>1643.1200000000008</v>
      </c>
      <c r="U23" s="143">
        <f>Arhive!F15</f>
        <v>6643</v>
      </c>
      <c r="V23" s="143">
        <f>SUM(S23:T24)-U23</f>
        <v>-3932.9199999999992</v>
      </c>
      <c r="W23" s="6"/>
      <c r="X23" s="6"/>
    </row>
    <row r="24" spans="1:24" s="23" customFormat="1" ht="9.75" customHeight="1">
      <c r="A24" s="21"/>
      <c r="B24" s="164" t="s">
        <v>42</v>
      </c>
      <c r="C24" s="147"/>
      <c r="D24" s="148" t="str">
        <f>D23</f>
        <v>Кавун А.И.</v>
      </c>
      <c r="E24" s="12" t="s">
        <v>4</v>
      </c>
      <c r="F24" s="55">
        <f>Arhive!C16</f>
        <v>5784.35</v>
      </c>
      <c r="G24" s="54">
        <f>Arhive!D16</f>
        <v>5731.93</v>
      </c>
      <c r="H24" s="54">
        <f t="shared" si="0"/>
        <v>52.420000000000073</v>
      </c>
      <c r="I24" s="56">
        <f>IF(H24=0,0,H24*100/(H24+H23))</f>
        <v>23.782949956898555</v>
      </c>
      <c r="J24" s="54">
        <f>IF((H23+H24)&gt;150,IF(H23=0,0,H24*100/(H23+H24)*150/100),H24)</f>
        <v>35.674424935347837</v>
      </c>
      <c r="K24" s="54">
        <f>IF(H24+H23&lt;600,H24-J24,450*(IF(H24=0,0,H24*100/(H24+H23)))/100)</f>
        <v>16.745575064652236</v>
      </c>
      <c r="L24" s="54">
        <f>H24-K24-J24</f>
        <v>0</v>
      </c>
      <c r="M24" s="54">
        <v>3.52</v>
      </c>
      <c r="N24" s="54">
        <v>4.21</v>
      </c>
      <c r="O24" s="54">
        <v>6.99</v>
      </c>
      <c r="P24" s="54">
        <f t="shared" si="1"/>
        <v>125.57397577242439</v>
      </c>
      <c r="Q24" s="54">
        <f t="shared" si="2"/>
        <v>70.498871022185909</v>
      </c>
      <c r="R24" s="54">
        <f t="shared" si="3"/>
        <v>0</v>
      </c>
      <c r="S24" s="143"/>
      <c r="T24" s="143"/>
      <c r="U24" s="143"/>
      <c r="V24" s="143"/>
      <c r="W24" s="6"/>
      <c r="X24" s="6"/>
    </row>
    <row r="25" spans="1:24" s="23" customFormat="1" ht="9.75" customHeight="1">
      <c r="A25" s="21"/>
      <c r="B25" s="164">
        <f>Arhive!A17</f>
        <v>9</v>
      </c>
      <c r="C25" s="147">
        <f>Arhive!G17</f>
        <v>22</v>
      </c>
      <c r="D25" s="148" t="str">
        <f>Arhive!B17</f>
        <v>Калашников В.В.</v>
      </c>
      <c r="E25" s="12" t="s">
        <v>3</v>
      </c>
      <c r="F25" s="55">
        <f>Arhive!C17</f>
        <v>2152.36</v>
      </c>
      <c r="G25" s="54">
        <f>Arhive!D17</f>
        <v>2130</v>
      </c>
      <c r="H25" s="54">
        <f t="shared" si="0"/>
        <v>22.360000000000127</v>
      </c>
      <c r="I25" s="56">
        <f>IF(H25=0,0,H25*100/(H25+H26))</f>
        <v>64.032073310424053</v>
      </c>
      <c r="J25" s="54">
        <f>IF((H25+H26)&gt;150,IF(H25=0,0,H25*100/(H25+H26)*150/100),H25)</f>
        <v>22.360000000000127</v>
      </c>
      <c r="K25" s="54">
        <f>IF(H25+H26&lt;600,H25-J25,450*(IF(H25=0,0,H25*100/(H25+H26)))/100)</f>
        <v>0</v>
      </c>
      <c r="L25" s="54">
        <f>H25-J25-K25</f>
        <v>0</v>
      </c>
      <c r="M25" s="54">
        <v>5.05</v>
      </c>
      <c r="N25" s="54">
        <v>5.47</v>
      </c>
      <c r="O25" s="54">
        <v>9.4</v>
      </c>
      <c r="P25" s="54">
        <f t="shared" si="1"/>
        <v>112.91800000000065</v>
      </c>
      <c r="Q25" s="54">
        <f t="shared" si="2"/>
        <v>0</v>
      </c>
      <c r="R25" s="54">
        <f t="shared" si="3"/>
        <v>0</v>
      </c>
      <c r="S25" s="143">
        <f>ROUND(SUM(P25:R26),2)</f>
        <v>157.13</v>
      </c>
      <c r="T25" s="143">
        <f>Arhive!E17</f>
        <v>529.91000000000042</v>
      </c>
      <c r="U25" s="143">
        <f>Arhive!F17</f>
        <v>0</v>
      </c>
      <c r="V25" s="143">
        <f>SUM(S25:T26)-U25</f>
        <v>687.04000000000042</v>
      </c>
      <c r="W25" s="6"/>
      <c r="X25" s="6"/>
    </row>
    <row r="26" spans="1:24" s="23" customFormat="1" ht="9.75" customHeight="1">
      <c r="A26" s="21"/>
      <c r="B26" s="164" t="s">
        <v>43</v>
      </c>
      <c r="C26" s="147"/>
      <c r="D26" s="148" t="str">
        <f>D25</f>
        <v>Калашников В.В.</v>
      </c>
      <c r="E26" s="12" t="s">
        <v>4</v>
      </c>
      <c r="F26" s="55">
        <f>Arhive!C18</f>
        <v>2710.89</v>
      </c>
      <c r="G26" s="54">
        <f>Arhive!D18</f>
        <v>2698.33</v>
      </c>
      <c r="H26" s="54">
        <f t="shared" si="0"/>
        <v>12.559999999999945</v>
      </c>
      <c r="I26" s="56">
        <f>IF(H26=0,0,H26*100/(H26+H25))</f>
        <v>35.96792668957594</v>
      </c>
      <c r="J26" s="54">
        <f>IF((H25+H26)&gt;150,IF(H25=0,0,H26*100/(H25+H26)*150/100),H26)</f>
        <v>12.559999999999945</v>
      </c>
      <c r="K26" s="54">
        <f>IF(H26+H25&lt;600,H26-J26,450*(IF(H26=0,0,H26*100/(H26+H25)))/100)</f>
        <v>0</v>
      </c>
      <c r="L26" s="54">
        <f>H26-K26-J26</f>
        <v>0</v>
      </c>
      <c r="M26" s="54">
        <v>3.52</v>
      </c>
      <c r="N26" s="54">
        <v>4.21</v>
      </c>
      <c r="O26" s="54">
        <v>6.99</v>
      </c>
      <c r="P26" s="54">
        <f t="shared" si="1"/>
        <v>44.211199999999806</v>
      </c>
      <c r="Q26" s="54">
        <f t="shared" si="2"/>
        <v>0</v>
      </c>
      <c r="R26" s="54">
        <f t="shared" si="3"/>
        <v>0</v>
      </c>
      <c r="S26" s="143"/>
      <c r="T26" s="143"/>
      <c r="U26" s="143"/>
      <c r="V26" s="143"/>
      <c r="W26" s="6"/>
      <c r="X26" s="6"/>
    </row>
    <row r="27" spans="1:24" s="23" customFormat="1" ht="9.75" customHeight="1">
      <c r="A27" s="21"/>
      <c r="B27" s="164">
        <f>Arhive!A19</f>
        <v>10</v>
      </c>
      <c r="C27" s="147">
        <f>Arhive!G19</f>
        <v>8</v>
      </c>
      <c r="D27" s="148" t="str">
        <f>Arhive!B19</f>
        <v>Картира Я.А.</v>
      </c>
      <c r="E27" s="12" t="s">
        <v>3</v>
      </c>
      <c r="F27" s="55">
        <f>Arhive!C19</f>
        <v>5042.34</v>
      </c>
      <c r="G27" s="54">
        <f>Arhive!D19</f>
        <v>4913.53</v>
      </c>
      <c r="H27" s="54">
        <f t="shared" si="0"/>
        <v>128.8100000000004</v>
      </c>
      <c r="I27" s="56">
        <f>IF(H27=0,0,H27*100/(H27+H28))</f>
        <v>64.93094061901418</v>
      </c>
      <c r="J27" s="54">
        <f>IF((H27+H28)&gt;150,IF(H27=0,0,H27*100/(H27+H28)*150/100),H27)</f>
        <v>97.396410928521277</v>
      </c>
      <c r="K27" s="54">
        <f>IF(H27+H28&lt;600,H27-J27,450*(IF(H27=0,0,H27*100/(H27+H28)))/100)</f>
        <v>31.413589071479123</v>
      </c>
      <c r="L27" s="54">
        <f>H27-J27-K27</f>
        <v>0</v>
      </c>
      <c r="M27" s="54">
        <v>5.05</v>
      </c>
      <c r="N27" s="54">
        <v>5.47</v>
      </c>
      <c r="O27" s="54">
        <v>9.4</v>
      </c>
      <c r="P27" s="54">
        <f t="shared" si="1"/>
        <v>491.85187518903246</v>
      </c>
      <c r="Q27" s="54">
        <f t="shared" si="2"/>
        <v>171.83233222099079</v>
      </c>
      <c r="R27" s="54">
        <f t="shared" si="3"/>
        <v>0</v>
      </c>
      <c r="S27" s="143">
        <f>ROUND(SUM(P27:R28),2)</f>
        <v>920.28</v>
      </c>
      <c r="T27" s="143">
        <f>Arhive!E19</f>
        <v>1205.5</v>
      </c>
      <c r="U27" s="143">
        <f>Arhive!F19</f>
        <v>0</v>
      </c>
      <c r="V27" s="143">
        <f>SUM(S27:T28)-U27</f>
        <v>2125.7799999999997</v>
      </c>
      <c r="W27" s="6"/>
      <c r="X27" s="6"/>
    </row>
    <row r="28" spans="1:24" s="23" customFormat="1" ht="9.75" customHeight="1">
      <c r="A28" s="21"/>
      <c r="B28" s="164" t="s">
        <v>44</v>
      </c>
      <c r="C28" s="147"/>
      <c r="D28" s="148" t="str">
        <f>D27</f>
        <v>Картира Я.А.</v>
      </c>
      <c r="E28" s="12" t="s">
        <v>4</v>
      </c>
      <c r="F28" s="55">
        <f>Arhive!C20</f>
        <v>2208.4499999999998</v>
      </c>
      <c r="G28" s="54">
        <f>Arhive!D20</f>
        <v>2138.88</v>
      </c>
      <c r="H28" s="54">
        <f t="shared" si="0"/>
        <v>69.569999999999709</v>
      </c>
      <c r="I28" s="56">
        <f>IF(H28=0,0,H28*100/(H28+H27))</f>
        <v>35.06905938098582</v>
      </c>
      <c r="J28" s="54">
        <f>IF((H27+H28)&gt;150,IF(H27=0,0,H28*100/(H27+H28)*150/100),H28)</f>
        <v>52.60358907147873</v>
      </c>
      <c r="K28" s="54">
        <f>IF(H28+H27&lt;600,H28-J28,450*(IF(H28=0,0,H28*100/(H28+H27)))/100)</f>
        <v>16.966410928520979</v>
      </c>
      <c r="L28" s="54">
        <f>H28-K28-J28</f>
        <v>0</v>
      </c>
      <c r="M28" s="54">
        <v>3.52</v>
      </c>
      <c r="N28" s="54">
        <v>4.21</v>
      </c>
      <c r="O28" s="54">
        <v>6.99</v>
      </c>
      <c r="P28" s="54">
        <f t="shared" si="1"/>
        <v>185.16463353160512</v>
      </c>
      <c r="Q28" s="54">
        <f t="shared" si="2"/>
        <v>71.428590009073318</v>
      </c>
      <c r="R28" s="54">
        <f t="shared" si="3"/>
        <v>0</v>
      </c>
      <c r="S28" s="143"/>
      <c r="T28" s="143"/>
      <c r="U28" s="143"/>
      <c r="V28" s="143"/>
      <c r="W28" s="6"/>
      <c r="X28" s="6"/>
    </row>
    <row r="29" spans="1:24" s="23" customFormat="1" ht="9.75" customHeight="1">
      <c r="A29" s="21"/>
      <c r="B29" s="164">
        <f>Arhive!A21</f>
        <v>11</v>
      </c>
      <c r="C29" s="147">
        <f>Arhive!G21</f>
        <v>36</v>
      </c>
      <c r="D29" s="148" t="str">
        <f>Arhive!B21</f>
        <v>Касьяненко А.А.</v>
      </c>
      <c r="E29" s="12" t="s">
        <v>3</v>
      </c>
      <c r="F29" s="55">
        <f>Arhive!C21</f>
        <v>24123.17</v>
      </c>
      <c r="G29" s="54">
        <f>Arhive!D21</f>
        <v>23923.71</v>
      </c>
      <c r="H29" s="54">
        <f t="shared" si="0"/>
        <v>199.45999999999913</v>
      </c>
      <c r="I29" s="56">
        <f>IF(H29=0,0,H29*100/(H29+H30))</f>
        <v>74.833045696705867</v>
      </c>
      <c r="J29" s="54">
        <f>IF((H29+H30)&gt;150,IF(H29=0,0,H29*100/(H29+H30)*150/100),H29)</f>
        <v>112.24956854505879</v>
      </c>
      <c r="K29" s="54">
        <f>IF(H29+H30&lt;600,H29-J29,450*(IF(H29=0,0,H29*100/(H29+H30)))/100)</f>
        <v>87.210431454940334</v>
      </c>
      <c r="L29" s="54">
        <f>H29-J29-K29</f>
        <v>0</v>
      </c>
      <c r="M29" s="54">
        <v>5.05</v>
      </c>
      <c r="N29" s="54">
        <v>5.47</v>
      </c>
      <c r="O29" s="54">
        <v>9.4</v>
      </c>
      <c r="P29" s="54">
        <f t="shared" si="1"/>
        <v>566.86032115254693</v>
      </c>
      <c r="Q29" s="54">
        <f t="shared" si="2"/>
        <v>477.04106005852361</v>
      </c>
      <c r="R29" s="54">
        <f t="shared" si="3"/>
        <v>0</v>
      </c>
      <c r="S29" s="143">
        <f>ROUND(SUM(P29:R30),2)</f>
        <v>1300.26</v>
      </c>
      <c r="T29" s="143">
        <f>Arhive!E21</f>
        <v>-53.740000000000009</v>
      </c>
      <c r="U29" s="143">
        <f>Arhive!F21</f>
        <v>1310</v>
      </c>
      <c r="V29" s="143">
        <f>SUM(S29:T30)-U29</f>
        <v>-63.480000000000018</v>
      </c>
      <c r="W29" s="6"/>
      <c r="X29" s="6"/>
    </row>
    <row r="30" spans="1:24" s="23" customFormat="1" ht="9.75" customHeight="1">
      <c r="A30" s="21"/>
      <c r="B30" s="164" t="s">
        <v>45</v>
      </c>
      <c r="C30" s="147"/>
      <c r="D30" s="148" t="str">
        <f>D29</f>
        <v>Касьяненко А.А.</v>
      </c>
      <c r="E30" s="12" t="s">
        <v>4</v>
      </c>
      <c r="F30" s="55">
        <f>Arhive!C22</f>
        <v>8324.1299999999992</v>
      </c>
      <c r="G30" s="54">
        <f>Arhive!D22</f>
        <v>8257.0499999999993</v>
      </c>
      <c r="H30" s="54">
        <f t="shared" si="0"/>
        <v>67.079999999999927</v>
      </c>
      <c r="I30" s="56">
        <f>IF(H30=0,0,H30*100/(H30+H29))</f>
        <v>25.166954303294126</v>
      </c>
      <c r="J30" s="54">
        <f>IF((H29+H30)&gt;150,IF(H29=0,0,H30*100/(H29+H30)*150/100),H30)</f>
        <v>37.750431454941193</v>
      </c>
      <c r="K30" s="54">
        <f>IF(H30+H29&lt;600,H30-J30,450*(IF(H30=0,0,H30*100/(H30+H29)))/100)</f>
        <v>29.329568545058734</v>
      </c>
      <c r="L30" s="54">
        <f>H30-K30-J30</f>
        <v>0</v>
      </c>
      <c r="M30" s="54">
        <v>3.52</v>
      </c>
      <c r="N30" s="54">
        <v>4.21</v>
      </c>
      <c r="O30" s="54">
        <v>6.99</v>
      </c>
      <c r="P30" s="54">
        <f t="shared" si="1"/>
        <v>132.88151872139301</v>
      </c>
      <c r="Q30" s="54">
        <f t="shared" si="2"/>
        <v>123.47748357469727</v>
      </c>
      <c r="R30" s="54">
        <f t="shared" si="3"/>
        <v>0</v>
      </c>
      <c r="S30" s="143"/>
      <c r="T30" s="143"/>
      <c r="U30" s="143"/>
      <c r="V30" s="143"/>
      <c r="W30" s="6"/>
      <c r="X30" s="6"/>
    </row>
    <row r="31" spans="1:24" s="23" customFormat="1" ht="9.75" customHeight="1">
      <c r="A31" s="21"/>
      <c r="B31" s="164">
        <f>Arhive!A23</f>
        <v>12</v>
      </c>
      <c r="C31" s="147">
        <f>Arhive!G23</f>
        <v>18</v>
      </c>
      <c r="D31" s="155" t="str">
        <f>Arhive!B23</f>
        <v>Ким Т.В.</v>
      </c>
      <c r="E31" s="12" t="s">
        <v>3</v>
      </c>
      <c r="F31" s="55">
        <f>Arhive!C23</f>
        <v>15245.87</v>
      </c>
      <c r="G31" s="54">
        <f>Arhive!D23</f>
        <v>14438.65</v>
      </c>
      <c r="H31" s="54">
        <f t="shared" si="0"/>
        <v>807.22000000000116</v>
      </c>
      <c r="I31" s="56">
        <f>IF(H31=0,0,H31*100/(H31+H32))</f>
        <v>78.011867715561451</v>
      </c>
      <c r="J31" s="54">
        <f>IF((H31+H32)&gt;150,IF(H31=0,0,H31*100/(H31+H32)*150/100),H31)</f>
        <v>117.01780157334217</v>
      </c>
      <c r="K31" s="54">
        <f>IF(H31+H32&lt;600,H31-J31,450*(IF(H31=0,0,H31*100/(H31+H32)))/100)</f>
        <v>351.05340472002649</v>
      </c>
      <c r="L31" s="54">
        <f>H31-J31-K31</f>
        <v>339.14879370663255</v>
      </c>
      <c r="M31" s="54">
        <v>5.05</v>
      </c>
      <c r="N31" s="54">
        <v>5.47</v>
      </c>
      <c r="O31" s="54">
        <v>9.4</v>
      </c>
      <c r="P31" s="54">
        <f t="shared" si="1"/>
        <v>590.93989794537788</v>
      </c>
      <c r="Q31" s="54">
        <f t="shared" si="2"/>
        <v>1920.2621238185448</v>
      </c>
      <c r="R31" s="54">
        <f t="shared" si="3"/>
        <v>3187.998660842346</v>
      </c>
      <c r="S31" s="143">
        <f>ROUND(SUM(P31:R32),2)</f>
        <v>6900.05</v>
      </c>
      <c r="T31" s="143">
        <f>Arhive!E23</f>
        <v>0</v>
      </c>
      <c r="U31" s="143">
        <f>Arhive!F23</f>
        <v>0</v>
      </c>
      <c r="V31" s="146">
        <f>SUM(S31:T32)-U31</f>
        <v>6900.05</v>
      </c>
      <c r="W31" s="6"/>
      <c r="X31" s="6"/>
    </row>
    <row r="32" spans="1:24" s="23" customFormat="1" ht="9.75" customHeight="1">
      <c r="A32" s="21"/>
      <c r="B32" s="164" t="s">
        <v>42</v>
      </c>
      <c r="C32" s="147"/>
      <c r="D32" s="155" t="str">
        <f>D31</f>
        <v>Ким Т.В.</v>
      </c>
      <c r="E32" s="12" t="s">
        <v>4</v>
      </c>
      <c r="F32" s="55">
        <f>Arhive!C24</f>
        <v>4359.82</v>
      </c>
      <c r="G32" s="54">
        <f>Arhive!D24</f>
        <v>4132.3</v>
      </c>
      <c r="H32" s="54">
        <f t="shared" si="0"/>
        <v>227.51999999999953</v>
      </c>
      <c r="I32" s="56">
        <f>IF(H32=0,0,H32*100/(H32+H31))</f>
        <v>21.988132284438542</v>
      </c>
      <c r="J32" s="54">
        <f>IF((H31+H32)&gt;150,IF(H31=0,0,H32*100/(H31+H32)*150/100),H32)</f>
        <v>32.982198426657817</v>
      </c>
      <c r="K32" s="54">
        <f>IF(H32+H31&lt;600,H32-J32,450*(IF(H32=0,0,H32*100/(H32+H31)))/100)</f>
        <v>98.946595279973451</v>
      </c>
      <c r="L32" s="54">
        <f>H32-K32-J32</f>
        <v>95.591206293368259</v>
      </c>
      <c r="M32" s="54">
        <v>3.52</v>
      </c>
      <c r="N32" s="54">
        <v>4.21</v>
      </c>
      <c r="O32" s="54">
        <v>6.99</v>
      </c>
      <c r="P32" s="54">
        <f t="shared" si="1"/>
        <v>116.09733846183552</v>
      </c>
      <c r="Q32" s="54">
        <f t="shared" si="2"/>
        <v>416.56516612868825</v>
      </c>
      <c r="R32" s="54">
        <f t="shared" si="3"/>
        <v>668.18253199064418</v>
      </c>
      <c r="S32" s="143"/>
      <c r="T32" s="143"/>
      <c r="U32" s="143"/>
      <c r="V32" s="146"/>
      <c r="W32" s="6"/>
      <c r="X32" s="6"/>
    </row>
    <row r="33" spans="1:24" s="23" customFormat="1" ht="9.75" customHeight="1">
      <c r="A33" s="21"/>
      <c r="B33" s="164">
        <f>Arhive!A25</f>
        <v>13</v>
      </c>
      <c r="C33" s="147">
        <f>Arhive!G25</f>
        <v>2</v>
      </c>
      <c r="D33" s="148" t="str">
        <f>Arhive!B25</f>
        <v>Клокова Е.В.</v>
      </c>
      <c r="E33" s="12" t="s">
        <v>3</v>
      </c>
      <c r="F33" s="55">
        <f>Arhive!C25</f>
        <v>16096.2</v>
      </c>
      <c r="G33" s="54">
        <f>Arhive!D25</f>
        <v>15843.36</v>
      </c>
      <c r="H33" s="54">
        <f t="shared" si="0"/>
        <v>252.84000000000015</v>
      </c>
      <c r="I33" s="56">
        <f>IF(H33=0,0,H33*100/(H33+H34))</f>
        <v>67.694779116465909</v>
      </c>
      <c r="J33" s="54">
        <f>IF((H33+H34)&gt;150,IF(H33=0,0,H33*100/(H33+H34)*150/100),H33)</f>
        <v>101.54216867469886</v>
      </c>
      <c r="K33" s="54">
        <f>IF(H33+H34&lt;600,H33-J33,450*(IF(H33=0,0,H33*100/(H33+H34)))/100)</f>
        <v>151.29783132530127</v>
      </c>
      <c r="L33" s="54">
        <f>H33-J33-K33</f>
        <v>0</v>
      </c>
      <c r="M33" s="54">
        <v>5.05</v>
      </c>
      <c r="N33" s="54">
        <v>5.47</v>
      </c>
      <c r="O33" s="54">
        <v>9.4</v>
      </c>
      <c r="P33" s="54">
        <f t="shared" si="1"/>
        <v>512.78795180722921</v>
      </c>
      <c r="Q33" s="54">
        <f t="shared" si="2"/>
        <v>827.59913734939789</v>
      </c>
      <c r="R33" s="54">
        <f t="shared" si="3"/>
        <v>0</v>
      </c>
      <c r="S33" s="143">
        <f>ROUND(SUM(P33:R34),2)</f>
        <v>1814.93</v>
      </c>
      <c r="T33" s="143">
        <f>Arhive!E25</f>
        <v>2920.6900000000005</v>
      </c>
      <c r="U33" s="143">
        <f>Arhive!F25</f>
        <v>3000</v>
      </c>
      <c r="V33" s="143">
        <f>SUM(S33:T34)-U33</f>
        <v>1735.6200000000008</v>
      </c>
      <c r="W33" s="6"/>
      <c r="X33" s="6"/>
    </row>
    <row r="34" spans="1:24" s="23" customFormat="1" ht="9.75" customHeight="1">
      <c r="A34" s="21"/>
      <c r="B34" s="164" t="s">
        <v>43</v>
      </c>
      <c r="C34" s="147"/>
      <c r="D34" s="148" t="str">
        <f>D33</f>
        <v>Клокова Е.В.</v>
      </c>
      <c r="E34" s="12" t="s">
        <v>4</v>
      </c>
      <c r="F34" s="55">
        <f>Arhive!C26</f>
        <v>6602.25</v>
      </c>
      <c r="G34" s="54">
        <f>Arhive!D26</f>
        <v>6481.59</v>
      </c>
      <c r="H34" s="54">
        <f t="shared" si="0"/>
        <v>120.65999999999985</v>
      </c>
      <c r="I34" s="56">
        <f>IF(H34=0,0,H34*100/(H34+H33))</f>
        <v>32.305220883534098</v>
      </c>
      <c r="J34" s="54">
        <f>IF((H33+H34)&gt;150,IF(H33=0,0,H34*100/(H33+H34)*150/100),H34)</f>
        <v>48.45783132530115</v>
      </c>
      <c r="K34" s="54">
        <f>IF(H34+H33&lt;600,H34-J34,450*(IF(H34=0,0,H34*100/(H34+H33)))/100)</f>
        <v>72.202168674698697</v>
      </c>
      <c r="L34" s="54">
        <f>H34-K34-J34</f>
        <v>0</v>
      </c>
      <c r="M34" s="54">
        <v>3.52</v>
      </c>
      <c r="N34" s="54">
        <v>4.21</v>
      </c>
      <c r="O34" s="54">
        <v>6.99</v>
      </c>
      <c r="P34" s="54">
        <f t="shared" si="1"/>
        <v>170.57156626506006</v>
      </c>
      <c r="Q34" s="54">
        <f t="shared" si="2"/>
        <v>303.97113012048152</v>
      </c>
      <c r="R34" s="54">
        <f t="shared" si="3"/>
        <v>0</v>
      </c>
      <c r="S34" s="143"/>
      <c r="T34" s="143"/>
      <c r="U34" s="143"/>
      <c r="V34" s="143"/>
      <c r="W34" s="6"/>
      <c r="X34" s="6"/>
    </row>
    <row r="35" spans="1:24" ht="9.75" customHeight="1">
      <c r="A35" s="7"/>
      <c r="B35" s="164">
        <f>Arhive!A27</f>
        <v>14</v>
      </c>
      <c r="C35" s="147">
        <f>Arhive!G27</f>
        <v>9</v>
      </c>
      <c r="D35" s="148" t="str">
        <f>Arhive!B27</f>
        <v>Коваленко Р.Т.</v>
      </c>
      <c r="E35" s="12" t="s">
        <v>3</v>
      </c>
      <c r="F35" s="55">
        <f>Arhive!C27</f>
        <v>10.31</v>
      </c>
      <c r="G35" s="54">
        <f>Arhive!D27</f>
        <v>8.35</v>
      </c>
      <c r="H35" s="54">
        <f t="shared" si="0"/>
        <v>1.9600000000000009</v>
      </c>
      <c r="I35" s="56">
        <f>IF(H35=0,0,H35*100/(H35+H36))</f>
        <v>100</v>
      </c>
      <c r="J35" s="54">
        <f>IF((H35+H36)&gt;150,IF(H35=0,0,H35*100/(H35+H36)*150/100),H35)</f>
        <v>1.9600000000000009</v>
      </c>
      <c r="K35" s="54">
        <f>IF(H35+H36&lt;600,H35-J35,450*(IF(H35=0,0,H35*100/(H35+H36)))/100)</f>
        <v>0</v>
      </c>
      <c r="L35" s="54">
        <f>H35-J35-K35</f>
        <v>0</v>
      </c>
      <c r="M35" s="54">
        <v>5.05</v>
      </c>
      <c r="N35" s="54">
        <v>5.47</v>
      </c>
      <c r="O35" s="54">
        <v>9.4</v>
      </c>
      <c r="P35" s="54">
        <f t="shared" si="1"/>
        <v>9.8980000000000032</v>
      </c>
      <c r="Q35" s="54">
        <f t="shared" si="2"/>
        <v>0</v>
      </c>
      <c r="R35" s="54">
        <f t="shared" si="3"/>
        <v>0</v>
      </c>
      <c r="S35" s="143">
        <f>ROUND(SUM(P35:R36),2)</f>
        <v>9.9</v>
      </c>
      <c r="T35" s="143">
        <f>Arhive!E27</f>
        <v>-63.18</v>
      </c>
      <c r="U35" s="143">
        <f>Arhive!F27</f>
        <v>100</v>
      </c>
      <c r="V35" s="143">
        <f>SUM(S35:T36)-U35</f>
        <v>-153.28</v>
      </c>
      <c r="W35" s="6"/>
      <c r="X35" s="6"/>
    </row>
    <row r="36" spans="1:24" ht="9.75" customHeight="1">
      <c r="A36" s="7"/>
      <c r="B36" s="164" t="s">
        <v>44</v>
      </c>
      <c r="C36" s="147"/>
      <c r="D36" s="148" t="str">
        <f>D35</f>
        <v>Коваленко Р.Т.</v>
      </c>
      <c r="E36" s="12" t="s">
        <v>4</v>
      </c>
      <c r="F36" s="55">
        <f>Arhive!C28</f>
        <v>0</v>
      </c>
      <c r="G36" s="54">
        <f>Arhive!D28</f>
        <v>0</v>
      </c>
      <c r="H36" s="54">
        <f t="shared" si="0"/>
        <v>0</v>
      </c>
      <c r="I36" s="56">
        <f>IF(H36=0,0,H36*100/(H36+H35))</f>
        <v>0</v>
      </c>
      <c r="J36" s="54">
        <f>IF((H35+H36)&gt;150,IF(H35=0,0,H36*100/(H35+H36)*150/100),H36)</f>
        <v>0</v>
      </c>
      <c r="K36" s="54">
        <f>IF(H36+H35&lt;600,H36-J36,450*(IF(H36=0,0,H36*100/(H36+H35)))/100)</f>
        <v>0</v>
      </c>
      <c r="L36" s="54">
        <f>H36-K36-J36</f>
        <v>0</v>
      </c>
      <c r="M36" s="54">
        <v>3.52</v>
      </c>
      <c r="N36" s="54">
        <v>4.21</v>
      </c>
      <c r="O36" s="54">
        <v>6.99</v>
      </c>
      <c r="P36" s="54">
        <f t="shared" si="1"/>
        <v>0</v>
      </c>
      <c r="Q36" s="54">
        <f t="shared" si="2"/>
        <v>0</v>
      </c>
      <c r="R36" s="54">
        <f t="shared" si="3"/>
        <v>0</v>
      </c>
      <c r="S36" s="143"/>
      <c r="T36" s="143"/>
      <c r="U36" s="143"/>
      <c r="V36" s="143"/>
      <c r="W36" s="6"/>
      <c r="X36" s="6"/>
    </row>
    <row r="37" spans="1:24" ht="9.75" customHeight="1">
      <c r="A37" s="2"/>
      <c r="B37" s="164">
        <f>Arhive!A29</f>
        <v>15</v>
      </c>
      <c r="C37" s="147">
        <f>Arhive!G29</f>
        <v>15</v>
      </c>
      <c r="D37" s="148" t="str">
        <f>Arhive!B29</f>
        <v>Кралькина И.А.</v>
      </c>
      <c r="E37" s="12" t="s">
        <v>3</v>
      </c>
      <c r="F37" s="55">
        <f>Arhive!C29</f>
        <v>140791.9</v>
      </c>
      <c r="G37" s="54">
        <f>Arhive!D29</f>
        <v>139337.75</v>
      </c>
      <c r="H37" s="54">
        <f t="shared" si="0"/>
        <v>1454.1499999999942</v>
      </c>
      <c r="I37" s="56">
        <f>IF(H37=0,0,H37*100/(H37+H38))</f>
        <v>71.431378424447104</v>
      </c>
      <c r="J37" s="54">
        <f>IF((H37+H38)&gt;150,IF(H37=0,0,H37*100/(H37+H38)*150/100),H37)</f>
        <v>107.14706763667066</v>
      </c>
      <c r="K37" s="54">
        <f>IF(H37+H38&lt;600,H37-J37,450*(IF(H37=0,0,H37*100/(H37+H38)))/100)</f>
        <v>321.44120291001195</v>
      </c>
      <c r="L37" s="54">
        <f>H37-J37-K37</f>
        <v>1025.5617294533115</v>
      </c>
      <c r="M37" s="54">
        <v>5.05</v>
      </c>
      <c r="N37" s="54">
        <v>5.47</v>
      </c>
      <c r="O37" s="54">
        <v>9.4</v>
      </c>
      <c r="P37" s="54">
        <f t="shared" si="1"/>
        <v>541.09269156518678</v>
      </c>
      <c r="Q37" s="54">
        <f t="shared" si="2"/>
        <v>1758.2833799177654</v>
      </c>
      <c r="R37" s="54">
        <f t="shared" si="3"/>
        <v>9640.2802568611278</v>
      </c>
      <c r="S37" s="143">
        <f>ROUND(SUM(P37:R38),2)</f>
        <v>15498.81</v>
      </c>
      <c r="T37" s="143">
        <f>Arhive!E29</f>
        <v>16847.629999999997</v>
      </c>
      <c r="U37" s="143">
        <f>Arhive!F29</f>
        <v>16850</v>
      </c>
      <c r="V37" s="143">
        <f>SUM(S37:T38)-U37</f>
        <v>15496.439999999995</v>
      </c>
      <c r="W37" s="6"/>
      <c r="X37" s="6"/>
    </row>
    <row r="38" spans="1:24" ht="9.75" customHeight="1">
      <c r="A38" s="2"/>
      <c r="B38" s="164" t="s">
        <v>45</v>
      </c>
      <c r="C38" s="147"/>
      <c r="D38" s="148" t="str">
        <f>D37</f>
        <v>Кралькина И.А.</v>
      </c>
      <c r="E38" s="12" t="s">
        <v>4</v>
      </c>
      <c r="F38" s="55">
        <f>Arhive!C30</f>
        <v>52726.58</v>
      </c>
      <c r="G38" s="54">
        <f>Arhive!D30</f>
        <v>52145</v>
      </c>
      <c r="H38" s="54">
        <f t="shared" si="0"/>
        <v>581.58000000000175</v>
      </c>
      <c r="I38" s="56">
        <f>IF(H38=0,0,H38*100/(H38+H37))</f>
        <v>28.568621575552893</v>
      </c>
      <c r="J38" s="54">
        <f>IF((H37+H38)&gt;150,IF(H37=0,0,H38*100/(H37+H38)*150/100),H38)</f>
        <v>42.852932363329337</v>
      </c>
      <c r="K38" s="54">
        <f>IF(H38+H37&lt;600,H38-J38,450*(IF(H38=0,0,H38*100/(H38+H37)))/100)</f>
        <v>128.55879708998802</v>
      </c>
      <c r="L38" s="54">
        <f>H38-K38-J38</f>
        <v>410.16827054668437</v>
      </c>
      <c r="M38" s="54">
        <v>3.52</v>
      </c>
      <c r="N38" s="54">
        <v>4.21</v>
      </c>
      <c r="O38" s="54">
        <v>6.99</v>
      </c>
      <c r="P38" s="54">
        <f t="shared" si="1"/>
        <v>150.84232191891928</v>
      </c>
      <c r="Q38" s="54">
        <f t="shared" si="2"/>
        <v>541.2325357488495</v>
      </c>
      <c r="R38" s="54">
        <f t="shared" si="3"/>
        <v>2867.0762111213239</v>
      </c>
      <c r="S38" s="143"/>
      <c r="T38" s="143"/>
      <c r="U38" s="143"/>
      <c r="V38" s="143"/>
      <c r="W38" s="6"/>
      <c r="X38" s="6"/>
    </row>
    <row r="39" spans="1:24" ht="9.75" customHeight="1">
      <c r="A39" s="2"/>
      <c r="B39" s="164">
        <f>Arhive!A31</f>
        <v>16</v>
      </c>
      <c r="C39" s="147">
        <f>Arhive!G31</f>
        <v>41</v>
      </c>
      <c r="D39" s="155" t="str">
        <f>Arhive!B31</f>
        <v>Кудряшов Ю.Ю.</v>
      </c>
      <c r="E39" s="12" t="s">
        <v>3</v>
      </c>
      <c r="F39" s="55">
        <f>Arhive!C31</f>
        <v>11353.14</v>
      </c>
      <c r="G39" s="54">
        <f>Arhive!D31</f>
        <v>11109.4</v>
      </c>
      <c r="H39" s="54">
        <f t="shared" si="0"/>
        <v>243.73999999999978</v>
      </c>
      <c r="I39" s="56">
        <f>IF(H39=0,0,H39*100/(H39+H40))</f>
        <v>76.187796949237338</v>
      </c>
      <c r="J39" s="54">
        <f>IF((H39+H40)&gt;150,IF(H39=0,0,H39*100/(H39+H40)*150/100),H39)</f>
        <v>114.28169542385599</v>
      </c>
      <c r="K39" s="54">
        <f>IF(H39+H40&lt;600,H39-J39,450*(IF(H39=0,0,H39*100/(H39+H40)))/100)</f>
        <v>129.4583045761438</v>
      </c>
      <c r="L39" s="54">
        <f>H39-J39-K39</f>
        <v>0</v>
      </c>
      <c r="M39" s="54">
        <v>5.05</v>
      </c>
      <c r="N39" s="54">
        <v>5.47</v>
      </c>
      <c r="O39" s="54">
        <v>9.4</v>
      </c>
      <c r="P39" s="54">
        <f t="shared" si="1"/>
        <v>577.12256189047275</v>
      </c>
      <c r="Q39" s="54">
        <f t="shared" si="2"/>
        <v>708.13692603150662</v>
      </c>
      <c r="R39" s="54">
        <f t="shared" si="3"/>
        <v>0</v>
      </c>
      <c r="S39" s="143">
        <f>ROUND(SUM(P39:R40),2)</f>
        <v>1581.33</v>
      </c>
      <c r="T39" s="143">
        <f>Arhive!E31</f>
        <v>4352.1000000000004</v>
      </c>
      <c r="U39" s="143">
        <f>Arhive!F31</f>
        <v>916.75</v>
      </c>
      <c r="V39" s="146">
        <f>SUM(S39:T40)-U39</f>
        <v>5016.68</v>
      </c>
      <c r="W39" s="6"/>
      <c r="X39" s="6"/>
    </row>
    <row r="40" spans="1:24" ht="9.75" customHeight="1">
      <c r="A40" s="2"/>
      <c r="B40" s="164" t="s">
        <v>53</v>
      </c>
      <c r="C40" s="147"/>
      <c r="D40" s="155" t="str">
        <f>D39</f>
        <v>Кудряшов Ю.Ю.</v>
      </c>
      <c r="E40" s="12" t="s">
        <v>4</v>
      </c>
      <c r="F40" s="55">
        <f>Arhive!C32</f>
        <v>3589.45</v>
      </c>
      <c r="G40" s="54">
        <f>Arhive!D32</f>
        <v>3513.27</v>
      </c>
      <c r="H40" s="54">
        <f t="shared" si="0"/>
        <v>76.179999999999836</v>
      </c>
      <c r="I40" s="56">
        <f>IF(H40=0,0,H40*100/(H40+H39))</f>
        <v>23.812203050762669</v>
      </c>
      <c r="J40" s="54">
        <f>IF((H39+H40)&gt;150,IF(H39=0,0,H40*100/(H39+H40)*150/100),H40)</f>
        <v>35.718304576144007</v>
      </c>
      <c r="K40" s="54">
        <f>IF(H40+H39&lt;600,H40-J40,450*(IF(H40=0,0,H40*100/(H40+H39)))/100)</f>
        <v>40.461695423855829</v>
      </c>
      <c r="L40" s="54">
        <f>H40-K40-J40</f>
        <v>0</v>
      </c>
      <c r="M40" s="54">
        <v>3.52</v>
      </c>
      <c r="N40" s="54">
        <v>4.21</v>
      </c>
      <c r="O40" s="54">
        <v>6.99</v>
      </c>
      <c r="P40" s="54">
        <f t="shared" si="1"/>
        <v>125.72843210802691</v>
      </c>
      <c r="Q40" s="54">
        <f t="shared" si="2"/>
        <v>170.34373773443303</v>
      </c>
      <c r="R40" s="54">
        <f t="shared" si="3"/>
        <v>0</v>
      </c>
      <c r="S40" s="143"/>
      <c r="T40" s="143"/>
      <c r="U40" s="143"/>
      <c r="V40" s="146"/>
      <c r="W40" s="6"/>
      <c r="X40" s="6"/>
    </row>
    <row r="41" spans="1:24" ht="9.75" customHeight="1">
      <c r="A41" s="2"/>
      <c r="B41" s="48">
        <f>Arhive!A33</f>
        <v>17</v>
      </c>
      <c r="C41" s="41">
        <f>Arhive!G33</f>
        <v>42</v>
      </c>
      <c r="D41" s="40" t="str">
        <f>Arhive!B33</f>
        <v>Курашин А.П.</v>
      </c>
      <c r="E41" s="12" t="s">
        <v>27</v>
      </c>
      <c r="F41" s="55">
        <f>Arhive!C33</f>
        <v>72.2</v>
      </c>
      <c r="G41" s="54">
        <f>Arhive!D33</f>
        <v>67.7</v>
      </c>
      <c r="H41" s="54">
        <f t="shared" si="0"/>
        <v>4.5</v>
      </c>
      <c r="I41" s="56">
        <f>IF(H41=0,0,H44*100/H41)</f>
        <v>382.44444444444429</v>
      </c>
      <c r="J41" s="54">
        <f>IF(H41&gt;150,IF(H41=0,0,H41*100/H41*150/100),H41)</f>
        <v>4.5</v>
      </c>
      <c r="K41" s="54">
        <f>IF(H41&lt;600,H41-J41,450*(IF(H41=0,0,H41*100/H41))/100)</f>
        <v>0</v>
      </c>
      <c r="L41" s="54">
        <f>H41-J41-K41</f>
        <v>0</v>
      </c>
      <c r="M41" s="54">
        <v>5.05</v>
      </c>
      <c r="N41" s="54">
        <v>5.47</v>
      </c>
      <c r="O41" s="54">
        <v>9.4</v>
      </c>
      <c r="P41" s="54">
        <f t="shared" si="1"/>
        <v>22.724999999999998</v>
      </c>
      <c r="Q41" s="54">
        <f t="shared" si="2"/>
        <v>0</v>
      </c>
      <c r="R41" s="54">
        <f t="shared" si="3"/>
        <v>0</v>
      </c>
      <c r="S41" s="54">
        <f>ROUND(SUM(P41:R41),2)</f>
        <v>22.73</v>
      </c>
      <c r="T41" s="54">
        <f>Arhive!E33</f>
        <v>-268.98</v>
      </c>
      <c r="U41" s="54">
        <f>Arhive!F33</f>
        <v>0</v>
      </c>
      <c r="V41" s="54">
        <f>SUM(S41:T41)-U41</f>
        <v>-246.25000000000003</v>
      </c>
      <c r="W41" s="6"/>
      <c r="X41" s="6"/>
    </row>
    <row r="42" spans="1:24" s="99" customFormat="1" ht="9.75" customHeight="1">
      <c r="A42" s="98"/>
      <c r="B42" s="165">
        <f>Arhive!A34</f>
        <v>18</v>
      </c>
      <c r="C42" s="162">
        <f>Arhive!G34</f>
        <v>7</v>
      </c>
      <c r="D42" s="160" t="str">
        <f>Arhive!B34</f>
        <v>Лисина H.А.</v>
      </c>
      <c r="E42" s="93" t="s">
        <v>3</v>
      </c>
      <c r="F42" s="94">
        <f>Arhive!C34</f>
        <v>10522.53</v>
      </c>
      <c r="G42" s="95">
        <f>Arhive!D34</f>
        <v>10383.83</v>
      </c>
      <c r="H42" s="95">
        <f>F42-G42</f>
        <v>138.70000000000073</v>
      </c>
      <c r="I42" s="96">
        <f>IF(H42=0,0,H42*100/(H42+H43))</f>
        <v>79.873308378923284</v>
      </c>
      <c r="J42" s="95">
        <f>IF((H42+H43)&gt;150,IF(H42=0,0,H42*100/(H42+H43)*150/100),H42)</f>
        <v>119.80996256838493</v>
      </c>
      <c r="K42" s="95">
        <f>IF(H42+H43&lt;600,H42-J42,450*(IF(H42=0,0,H42*100/(H42+H43)))/100)</f>
        <v>18.890037431615795</v>
      </c>
      <c r="L42" s="95">
        <f>H42-J42-K42</f>
        <v>0</v>
      </c>
      <c r="M42" s="54">
        <v>5.05</v>
      </c>
      <c r="N42" s="54">
        <v>5.47</v>
      </c>
      <c r="O42" s="54">
        <v>9.4</v>
      </c>
      <c r="P42" s="95">
        <f>IF(H42&lt;J42,H42*M42,J42*M42)</f>
        <v>605.04031097034385</v>
      </c>
      <c r="Q42" s="95">
        <f t="shared" ref="Q42:R45" si="4">IF(K42&lt;0,0,K42*N42)</f>
        <v>103.32850475093839</v>
      </c>
      <c r="R42" s="95">
        <f t="shared" si="4"/>
        <v>0</v>
      </c>
      <c r="S42" s="161">
        <f>ROUND(SUM(P42:R43),2)</f>
        <v>834.68</v>
      </c>
      <c r="T42" s="161">
        <f>Arhive!E34</f>
        <v>2158.2399999999998</v>
      </c>
      <c r="U42" s="161">
        <f>Arhive!F34</f>
        <v>2158.2399999999998</v>
      </c>
      <c r="V42" s="161">
        <f>SUM(S42:T43)-U42</f>
        <v>834.67999999999984</v>
      </c>
      <c r="W42" s="6"/>
      <c r="X42" s="6"/>
    </row>
    <row r="43" spans="1:24" s="99" customFormat="1" ht="9.75" customHeight="1">
      <c r="A43" s="98"/>
      <c r="B43" s="165">
        <v>19</v>
      </c>
      <c r="C43" s="162"/>
      <c r="D43" s="160" t="str">
        <f>D42</f>
        <v>Лисина H.А.</v>
      </c>
      <c r="E43" s="93" t="s">
        <v>4</v>
      </c>
      <c r="F43" s="94">
        <f>Arhive!C35</f>
        <v>2902.79</v>
      </c>
      <c r="G43" s="95">
        <f>Arhive!D35</f>
        <v>2867.84</v>
      </c>
      <c r="H43" s="95">
        <f>F43-G43</f>
        <v>34.949999999999818</v>
      </c>
      <c r="I43" s="96">
        <f>IF(H43=0,0,H43*100/(H43+H42))</f>
        <v>20.126691621076709</v>
      </c>
      <c r="J43" s="95">
        <f>IF((H42+H43)&gt;150,IF(H42=0,0,H43*100/(H42+H43)*150/100),H43)</f>
        <v>30.190037431615064</v>
      </c>
      <c r="K43" s="95">
        <f>IF(H43+H42&lt;600,H43-J43,450*(IF(H43=0,0,H43*100/(H43+H42)))/100)</f>
        <v>4.7599625683847542</v>
      </c>
      <c r="L43" s="95">
        <f>H43-K43-J43</f>
        <v>0</v>
      </c>
      <c r="M43" s="54">
        <v>3.52</v>
      </c>
      <c r="N43" s="54">
        <v>4.21</v>
      </c>
      <c r="O43" s="54">
        <v>6.99</v>
      </c>
      <c r="P43" s="95">
        <f>IF(H43&lt;J43,H43*M43,J43*M43)</f>
        <v>106.26893175928502</v>
      </c>
      <c r="Q43" s="95">
        <f t="shared" si="4"/>
        <v>20.039442412899813</v>
      </c>
      <c r="R43" s="95">
        <f t="shared" si="4"/>
        <v>0</v>
      </c>
      <c r="S43" s="161"/>
      <c r="T43" s="161"/>
      <c r="U43" s="161"/>
      <c r="V43" s="161"/>
      <c r="W43" s="6"/>
      <c r="X43" s="6"/>
    </row>
    <row r="44" spans="1:24" s="99" customFormat="1" ht="9.75" customHeight="1">
      <c r="A44" s="98"/>
      <c r="B44" s="165">
        <f>Arhive!A36</f>
        <v>19</v>
      </c>
      <c r="C44" s="162">
        <f>Arhive!G36</f>
        <v>38</v>
      </c>
      <c r="D44" s="160" t="str">
        <f>Arhive!B36</f>
        <v>Лисина Н.А.</v>
      </c>
      <c r="E44" s="93" t="s">
        <v>3</v>
      </c>
      <c r="F44" s="94">
        <f>Arhive!C36</f>
        <v>116.75</v>
      </c>
      <c r="G44" s="95">
        <f>Arhive!D36</f>
        <v>99.54</v>
      </c>
      <c r="H44" s="95">
        <f>F44-G44</f>
        <v>17.209999999999994</v>
      </c>
      <c r="I44" s="96">
        <f>IF(H44=0,0,H44*100/(H44+H45))</f>
        <v>67.755905511811022</v>
      </c>
      <c r="J44" s="95">
        <f>IF((H44+H45)&gt;150,IF(H44=0,0,H44*100/(H44+H45)*150/100),H44)</f>
        <v>17.209999999999994</v>
      </c>
      <c r="K44" s="95">
        <f>IF(H44+H45&lt;600,H44-J44,450*(IF(H44=0,0,H44*100/(H44+H45)))/100)</f>
        <v>0</v>
      </c>
      <c r="L44" s="95">
        <f>H44-J44-K44</f>
        <v>0</v>
      </c>
      <c r="M44" s="54">
        <v>5.05</v>
      </c>
      <c r="N44" s="54">
        <v>5.47</v>
      </c>
      <c r="O44" s="54">
        <v>9.4</v>
      </c>
      <c r="P44" s="95">
        <f>IF(H44&lt;J44,H44*M44,J44*M44)</f>
        <v>86.910499999999971</v>
      </c>
      <c r="Q44" s="95">
        <f t="shared" si="4"/>
        <v>0</v>
      </c>
      <c r="R44" s="95">
        <f t="shared" si="4"/>
        <v>0</v>
      </c>
      <c r="S44" s="161">
        <f>ROUND(SUM(P44:R45),2)</f>
        <v>115.74</v>
      </c>
      <c r="T44" s="161">
        <f>Arhive!E36</f>
        <v>415.72</v>
      </c>
      <c r="U44" s="143">
        <f>Arhive!F36</f>
        <v>415.72</v>
      </c>
      <c r="V44" s="161">
        <f>SUM(S44:T44)-U44</f>
        <v>115.74000000000001</v>
      </c>
      <c r="W44" s="6"/>
      <c r="X44" s="6"/>
    </row>
    <row r="45" spans="1:24" s="99" customFormat="1" ht="9.75" customHeight="1">
      <c r="A45" s="98"/>
      <c r="B45" s="165">
        <v>20</v>
      </c>
      <c r="C45" s="162"/>
      <c r="D45" s="160" t="str">
        <f>D44</f>
        <v>Лисина Н.А.</v>
      </c>
      <c r="E45" s="93" t="s">
        <v>4</v>
      </c>
      <c r="F45" s="94">
        <f>Arhive!C37</f>
        <v>43.72</v>
      </c>
      <c r="G45" s="95">
        <f>Arhive!D37</f>
        <v>35.53</v>
      </c>
      <c r="H45" s="95">
        <f>F45-G45</f>
        <v>8.1899999999999977</v>
      </c>
      <c r="I45" s="96">
        <f>IF(H45=0,0,H45*100/(H45+H44))</f>
        <v>32.244094488188978</v>
      </c>
      <c r="J45" s="95">
        <f>IF((H44+H45)&gt;150,IF(H44=0,0,H45*100/(H44+H45)*150/100),H45)</f>
        <v>8.1899999999999977</v>
      </c>
      <c r="K45" s="95">
        <f>IF(H45+H44&lt;600,H45-J45,450*(IF(H45=0,0,H45*100/(H45+H44)))/100)</f>
        <v>0</v>
      </c>
      <c r="L45" s="95">
        <f>H45-K45-J45</f>
        <v>0</v>
      </c>
      <c r="M45" s="54">
        <v>3.52</v>
      </c>
      <c r="N45" s="54">
        <v>4.21</v>
      </c>
      <c r="O45" s="54">
        <v>6.99</v>
      </c>
      <c r="P45" s="95">
        <f>IF(H45&lt;J45,H45*M45,J45*M45)</f>
        <v>28.82879999999999</v>
      </c>
      <c r="Q45" s="95">
        <f t="shared" si="4"/>
        <v>0</v>
      </c>
      <c r="R45" s="95">
        <f t="shared" si="4"/>
        <v>0</v>
      </c>
      <c r="S45" s="161"/>
      <c r="T45" s="161"/>
      <c r="U45" s="143"/>
      <c r="V45" s="161"/>
      <c r="W45" s="6"/>
      <c r="X45" s="6"/>
    </row>
    <row r="46" spans="1:24" s="99" customFormat="1" ht="9.75" customHeight="1">
      <c r="A46" s="98"/>
      <c r="B46" s="100">
        <f>Arhive!A38</f>
        <v>20</v>
      </c>
      <c r="C46" s="91">
        <f>Arhive!G38</f>
        <v>6</v>
      </c>
      <c r="D46" s="92" t="str">
        <f>Arhive!B38</f>
        <v>Макарова О.Н.</v>
      </c>
      <c r="E46" s="93" t="s">
        <v>27</v>
      </c>
      <c r="F46" s="94">
        <f>Arhive!C38</f>
        <v>25224.3</v>
      </c>
      <c r="G46" s="95">
        <f>Arhive!D38</f>
        <v>24772.9</v>
      </c>
      <c r="H46" s="95">
        <f t="shared" ref="H46:H71" si="5">F46-G46</f>
        <v>451.39999999999782</v>
      </c>
      <c r="I46" s="96">
        <f>IF(H46=0,0,H46*100/H46)</f>
        <v>100</v>
      </c>
      <c r="J46" s="95">
        <f>IF(H46&gt;150,IF(H46=0,0,H46*100/H46*150/100),H46)</f>
        <v>150</v>
      </c>
      <c r="K46" s="95">
        <f>IF(H46&lt;600,H46-J46,450*(IF(H46=0,0,H46*100/H46))/100)</f>
        <v>301.39999999999782</v>
      </c>
      <c r="L46" s="95">
        <f>H46-J46-K46</f>
        <v>0</v>
      </c>
      <c r="M46" s="54">
        <v>5.05</v>
      </c>
      <c r="N46" s="54">
        <v>5.47</v>
      </c>
      <c r="O46" s="54">
        <v>9.4</v>
      </c>
      <c r="P46" s="95">
        <f t="shared" ref="P46:P71" si="6">IF(H46&lt;J46,H46*M46,J46*M46)</f>
        <v>757.5</v>
      </c>
      <c r="Q46" s="95">
        <f t="shared" ref="Q46:Q71" si="7">IF(K46&lt;0,0,K46*N46)</f>
        <v>1648.6579999999881</v>
      </c>
      <c r="R46" s="95">
        <f t="shared" ref="R46:R71" si="8">IF(L46&lt;0,0,L46*O46)</f>
        <v>0</v>
      </c>
      <c r="S46" s="95">
        <f>ROUND(SUM(P46:R46),2)</f>
        <v>2406.16</v>
      </c>
      <c r="T46" s="95">
        <f>Arhive!E38</f>
        <v>-568.91000000000008</v>
      </c>
      <c r="U46" s="95">
        <f>Arhive!F38</f>
        <v>1000</v>
      </c>
      <c r="V46" s="95">
        <f>SUM(S46:T46)-U46</f>
        <v>837.24999999999977</v>
      </c>
      <c r="W46" s="6"/>
      <c r="X46" s="6"/>
    </row>
    <row r="47" spans="1:24" s="99" customFormat="1" ht="9.75" customHeight="1">
      <c r="A47" s="98"/>
      <c r="B47" s="165">
        <f>Arhive!A39</f>
        <v>21</v>
      </c>
      <c r="C47" s="162">
        <f>Arhive!G39</f>
        <v>31</v>
      </c>
      <c r="D47" s="160" t="str">
        <f>Arhive!B39</f>
        <v>Милакина М.В.</v>
      </c>
      <c r="E47" s="93" t="s">
        <v>3</v>
      </c>
      <c r="F47" s="94">
        <f>Arhive!C39</f>
        <v>26511.9</v>
      </c>
      <c r="G47" s="95">
        <f>Arhive!D39</f>
        <v>26168.58</v>
      </c>
      <c r="H47" s="95">
        <f t="shared" si="5"/>
        <v>343.31999999999971</v>
      </c>
      <c r="I47" s="96">
        <f>IF(H47=0,0,H47*100/(H47+H48))</f>
        <v>69.431917002042368</v>
      </c>
      <c r="J47" s="95">
        <f>IF((H47+H48)&gt;150,IF(H47=0,0,H47*100/(H47+H48)*150/100),H47)</f>
        <v>104.14787550306355</v>
      </c>
      <c r="K47" s="95">
        <f>IF(H47+H48&lt;600,H47-J47,450*(IF(H47=0,0,H47*100/(H47+H48)))/100)</f>
        <v>239.17212449693616</v>
      </c>
      <c r="L47" s="95">
        <f>H47-J47-K47</f>
        <v>0</v>
      </c>
      <c r="M47" s="54">
        <v>5.05</v>
      </c>
      <c r="N47" s="54">
        <v>5.47</v>
      </c>
      <c r="O47" s="54">
        <v>9.4</v>
      </c>
      <c r="P47" s="95">
        <f t="shared" si="6"/>
        <v>525.94677129047091</v>
      </c>
      <c r="Q47" s="95">
        <f t="shared" si="7"/>
        <v>1308.2715209982407</v>
      </c>
      <c r="R47" s="95">
        <f t="shared" si="8"/>
        <v>0</v>
      </c>
      <c r="S47" s="161">
        <f>ROUND(SUM(P47:R48),2)</f>
        <v>2438.92</v>
      </c>
      <c r="T47" s="161">
        <f>Arhive!E39</f>
        <v>2064.5499999999993</v>
      </c>
      <c r="U47" s="161">
        <f>Arhive!F39</f>
        <v>4600</v>
      </c>
      <c r="V47" s="161">
        <f>SUM(S47:T48)-U47</f>
        <v>-96.530000000000655</v>
      </c>
      <c r="W47" s="6"/>
      <c r="X47" s="6"/>
    </row>
    <row r="48" spans="1:24" s="99" customFormat="1" ht="9.75" customHeight="1">
      <c r="A48" s="98"/>
      <c r="B48" s="165">
        <v>22</v>
      </c>
      <c r="C48" s="162"/>
      <c r="D48" s="160" t="str">
        <f>D47</f>
        <v>Милакина М.В.</v>
      </c>
      <c r="E48" s="93" t="s">
        <v>4</v>
      </c>
      <c r="F48" s="94">
        <f>Arhive!C40</f>
        <v>14148.45</v>
      </c>
      <c r="G48" s="95">
        <f>Arhive!D40</f>
        <v>13997.3</v>
      </c>
      <c r="H48" s="95">
        <f t="shared" si="5"/>
        <v>151.15000000000146</v>
      </c>
      <c r="I48" s="96">
        <f>IF(H48=0,0,H48*100/(H48+H47))</f>
        <v>30.568082997957632</v>
      </c>
      <c r="J48" s="95">
        <f>IF((H47+H48)&gt;150,IF(H47=0,0,H48*100/(H47+H48)*150/100),H48)</f>
        <v>45.852124496936447</v>
      </c>
      <c r="K48" s="95">
        <f>IF(H48+H47&lt;600,H48-J48,450*(IF(H48=0,0,H48*100/(H48+H47)))/100)</f>
        <v>105.297875503065</v>
      </c>
      <c r="L48" s="95">
        <f>H48-K48-J48</f>
        <v>0</v>
      </c>
      <c r="M48" s="54">
        <v>3.52</v>
      </c>
      <c r="N48" s="54">
        <v>4.21</v>
      </c>
      <c r="O48" s="54">
        <v>6.99</v>
      </c>
      <c r="P48" s="95">
        <f t="shared" si="6"/>
        <v>161.3994782292163</v>
      </c>
      <c r="Q48" s="95">
        <f t="shared" si="7"/>
        <v>443.30405586790363</v>
      </c>
      <c r="R48" s="95">
        <f t="shared" si="8"/>
        <v>0</v>
      </c>
      <c r="S48" s="161"/>
      <c r="T48" s="161"/>
      <c r="U48" s="161"/>
      <c r="V48" s="161"/>
      <c r="W48" s="6"/>
      <c r="X48" s="6"/>
    </row>
    <row r="49" spans="1:24" s="99" customFormat="1" ht="9.75" customHeight="1">
      <c r="A49" s="98"/>
      <c r="B49" s="165">
        <f>Arhive!A41</f>
        <v>22</v>
      </c>
      <c r="C49" s="162">
        <f>Arhive!G41</f>
        <v>11</v>
      </c>
      <c r="D49" s="160" t="str">
        <f>Arhive!B41</f>
        <v>Мирошниченко Л.В.</v>
      </c>
      <c r="E49" s="93" t="s">
        <v>3</v>
      </c>
      <c r="F49" s="94">
        <f>Arhive!C41</f>
        <v>19430.07</v>
      </c>
      <c r="G49" s="95">
        <f>Arhive!D41</f>
        <v>19306.05</v>
      </c>
      <c r="H49" s="95">
        <f t="shared" si="5"/>
        <v>124.02000000000044</v>
      </c>
      <c r="I49" s="96">
        <f>IF(H49=0,0,H49*100/(H49+H50))</f>
        <v>73.384615384614847</v>
      </c>
      <c r="J49" s="95">
        <f>IF((H49+H50)&gt;150,IF(H49=0,0,H49*100/(H49+H50)*150/100),H49)</f>
        <v>110.07692307692227</v>
      </c>
      <c r="K49" s="95">
        <f>IF(H49+H50&lt;600,H49-J49,450*(IF(H49=0,0,H49*100/(H49+H50)))/100)</f>
        <v>13.943076923078166</v>
      </c>
      <c r="L49" s="95">
        <f>H49-J49-K49</f>
        <v>0</v>
      </c>
      <c r="M49" s="54">
        <v>5.05</v>
      </c>
      <c r="N49" s="54">
        <v>5.47</v>
      </c>
      <c r="O49" s="54">
        <v>9.4</v>
      </c>
      <c r="P49" s="95">
        <f t="shared" si="6"/>
        <v>555.88846153845748</v>
      </c>
      <c r="Q49" s="95">
        <f t="shared" si="7"/>
        <v>76.268630769237561</v>
      </c>
      <c r="R49" s="95">
        <f t="shared" si="8"/>
        <v>0</v>
      </c>
      <c r="S49" s="161">
        <f>ROUND(SUM(P49:R50),2)</f>
        <v>793.98</v>
      </c>
      <c r="T49" s="161">
        <f>Arhive!E41</f>
        <v>1236.4899999999993</v>
      </c>
      <c r="U49" s="161">
        <f>Arhive!F41</f>
        <v>1236.49</v>
      </c>
      <c r="V49" s="163">
        <f>SUM(S49:T50)-U49</f>
        <v>793.97999999999934</v>
      </c>
      <c r="W49" s="6"/>
      <c r="X49" s="6"/>
    </row>
    <row r="50" spans="1:24" s="99" customFormat="1" ht="9.75" customHeight="1">
      <c r="A50" s="98"/>
      <c r="B50" s="165">
        <v>23</v>
      </c>
      <c r="C50" s="162"/>
      <c r="D50" s="160" t="str">
        <f>D49</f>
        <v>Мирошниченко Л.В.</v>
      </c>
      <c r="E50" s="93" t="s">
        <v>4</v>
      </c>
      <c r="F50" s="94">
        <f>Arhive!C42</f>
        <v>8356.11</v>
      </c>
      <c r="G50" s="95">
        <f>Arhive!D42</f>
        <v>8311.1299999999992</v>
      </c>
      <c r="H50" s="95">
        <f t="shared" si="5"/>
        <v>44.980000000001382</v>
      </c>
      <c r="I50" s="96">
        <f>IF(H50=0,0,H50*100/(H50+H49))</f>
        <v>26.615384615385146</v>
      </c>
      <c r="J50" s="95">
        <f>IF((H49+H50)&gt;150,IF(H49=0,0,H50*100/(H49+H50)*150/100),H50)</f>
        <v>39.923076923077723</v>
      </c>
      <c r="K50" s="95">
        <f>IF(H50+H49&lt;600,H50-J50,450*(IF(H50=0,0,H50*100/(H50+H49)))/100)</f>
        <v>5.0569230769236597</v>
      </c>
      <c r="L50" s="95">
        <f>H50-K50-J50</f>
        <v>0</v>
      </c>
      <c r="M50" s="54">
        <v>3.52</v>
      </c>
      <c r="N50" s="54">
        <v>4.21</v>
      </c>
      <c r="O50" s="54">
        <v>6.99</v>
      </c>
      <c r="P50" s="95">
        <f t="shared" si="6"/>
        <v>140.52923076923358</v>
      </c>
      <c r="Q50" s="95">
        <f t="shared" si="7"/>
        <v>21.289646153848608</v>
      </c>
      <c r="R50" s="95">
        <f t="shared" si="8"/>
        <v>0</v>
      </c>
      <c r="S50" s="161"/>
      <c r="T50" s="161"/>
      <c r="U50" s="161"/>
      <c r="V50" s="163"/>
      <c r="W50" s="6"/>
      <c r="X50" s="6"/>
    </row>
    <row r="51" spans="1:24" s="99" customFormat="1" ht="9.75" customHeight="1">
      <c r="A51" s="98"/>
      <c r="B51" s="165">
        <f>Arhive!A43</f>
        <v>23</v>
      </c>
      <c r="C51" s="162">
        <f>Arhive!G43</f>
        <v>58</v>
      </c>
      <c r="D51" s="160" t="str">
        <f>Arhive!B43</f>
        <v xml:space="preserve">Митрофанова И.В. </v>
      </c>
      <c r="E51" s="93" t="s">
        <v>3</v>
      </c>
      <c r="F51" s="94">
        <f>Arhive!C43</f>
        <v>0</v>
      </c>
      <c r="G51" s="95">
        <f>Arhive!D43</f>
        <v>0</v>
      </c>
      <c r="H51" s="95">
        <f>F51-G51</f>
        <v>0</v>
      </c>
      <c r="I51" s="96">
        <f>IF(H51=0,0,H51*100/(H51+H52))</f>
        <v>0</v>
      </c>
      <c r="J51" s="95">
        <f>IF((H51+H52)&gt;150,IF(H51=0,0,H51*100/(H51+H52)*150/100),H51)</f>
        <v>0</v>
      </c>
      <c r="K51" s="95">
        <f>IF(H51+H52&lt;600,H51-J51,450*(IF(H51=0,0,H51*100/(H51+H52)))/100)</f>
        <v>0</v>
      </c>
      <c r="L51" s="95">
        <f>H51-J51-K51</f>
        <v>0</v>
      </c>
      <c r="M51" s="54">
        <v>5.05</v>
      </c>
      <c r="N51" s="54">
        <v>5.47</v>
      </c>
      <c r="O51" s="54">
        <v>9.4</v>
      </c>
      <c r="P51" s="95">
        <f>IF(H51&lt;J51,H51*M51,J51*M51)</f>
        <v>0</v>
      </c>
      <c r="Q51" s="95">
        <f t="shared" ref="Q51:R54" si="9">IF(K51&lt;0,0,K51*N51)</f>
        <v>0</v>
      </c>
      <c r="R51" s="95">
        <f t="shared" si="9"/>
        <v>0</v>
      </c>
      <c r="S51" s="161">
        <f>ROUND(SUM(P51:R52),2)</f>
        <v>0</v>
      </c>
      <c r="T51" s="161">
        <f>Arhive!E43</f>
        <v>0</v>
      </c>
      <c r="U51" s="161">
        <f>Arhive!F43</f>
        <v>0</v>
      </c>
      <c r="V51" s="161">
        <f>SUM(S51:T52)-U51</f>
        <v>0</v>
      </c>
      <c r="W51" s="6"/>
      <c r="X51" s="6"/>
    </row>
    <row r="52" spans="1:24" s="99" customFormat="1" ht="9.75" customHeight="1">
      <c r="A52" s="98"/>
      <c r="B52" s="165">
        <v>24</v>
      </c>
      <c r="C52" s="162"/>
      <c r="D52" s="160" t="str">
        <f>D51</f>
        <v xml:space="preserve">Митрофанова И.В. </v>
      </c>
      <c r="E52" s="93" t="s">
        <v>4</v>
      </c>
      <c r="F52" s="94">
        <f>Arhive!C44</f>
        <v>0</v>
      </c>
      <c r="G52" s="95">
        <f>Arhive!D44</f>
        <v>0</v>
      </c>
      <c r="H52" s="95">
        <f>F52-G52</f>
        <v>0</v>
      </c>
      <c r="I52" s="96">
        <f>IF(H52=0,0,H52*100/(H52+H51))</f>
        <v>0</v>
      </c>
      <c r="J52" s="95">
        <f>IF((H51+H52)&gt;150,IF(H51=0,0,H52*100/(H51+H52)*150/100),H52)</f>
        <v>0</v>
      </c>
      <c r="K52" s="95">
        <f>IF(H52+H51&lt;600,H52-J52,450*(IF(H52=0,0,H52*100/(H52+H51)))/100)</f>
        <v>0</v>
      </c>
      <c r="L52" s="95">
        <f>H52-K52-J52</f>
        <v>0</v>
      </c>
      <c r="M52" s="54">
        <v>3.52</v>
      </c>
      <c r="N52" s="54">
        <v>4.21</v>
      </c>
      <c r="O52" s="54">
        <v>6.99</v>
      </c>
      <c r="P52" s="95">
        <f>IF(H52&lt;J52,H52*M52,J52*M52)</f>
        <v>0</v>
      </c>
      <c r="Q52" s="95">
        <f t="shared" si="9"/>
        <v>0</v>
      </c>
      <c r="R52" s="95">
        <f t="shared" si="9"/>
        <v>0</v>
      </c>
      <c r="S52" s="161"/>
      <c r="T52" s="161"/>
      <c r="U52" s="161"/>
      <c r="V52" s="161"/>
      <c r="W52" s="6"/>
      <c r="X52" s="6"/>
    </row>
    <row r="53" spans="1:24" s="99" customFormat="1" ht="9.75" customHeight="1">
      <c r="A53" s="98"/>
      <c r="B53" s="102">
        <f>Arhive!A45</f>
        <v>24</v>
      </c>
      <c r="C53" s="91">
        <f>Arhive!G45</f>
        <v>26</v>
      </c>
      <c r="D53" s="101" t="str">
        <f>Arhive!B45</f>
        <v>Михайленко C.Г.</v>
      </c>
      <c r="E53" s="93" t="s">
        <v>27</v>
      </c>
      <c r="F53" s="94">
        <f>Arhive!C45</f>
        <v>39313.1</v>
      </c>
      <c r="G53" s="95">
        <f>Arhive!D45</f>
        <v>39062.5</v>
      </c>
      <c r="H53" s="95">
        <f>F53-G53</f>
        <v>250.59999999999854</v>
      </c>
      <c r="I53" s="96">
        <f>IF(H53=0,0,H53*100/H53)</f>
        <v>100</v>
      </c>
      <c r="J53" s="95">
        <f>IF(H53&gt;150,IF(H53=0,0,H53*100/H53*150/100),H53)</f>
        <v>150</v>
      </c>
      <c r="K53" s="95">
        <f>IF(H53&lt;600,H53-J53,450*(IF(H53=0,0,H53*100/H53))/100)</f>
        <v>100.59999999999854</v>
      </c>
      <c r="L53" s="95">
        <f>H53-J53-K53</f>
        <v>0</v>
      </c>
      <c r="M53" s="54">
        <v>5.05</v>
      </c>
      <c r="N53" s="54">
        <v>5.47</v>
      </c>
      <c r="O53" s="54">
        <v>9.4</v>
      </c>
      <c r="P53" s="95">
        <f>IF(H53&lt;J53,H53*M53,J53*M53)</f>
        <v>757.5</v>
      </c>
      <c r="Q53" s="95">
        <f t="shared" si="9"/>
        <v>550.28199999999197</v>
      </c>
      <c r="R53" s="95">
        <f t="shared" si="9"/>
        <v>0</v>
      </c>
      <c r="S53" s="95">
        <f>ROUND(SUM(P53:R53),2)</f>
        <v>1307.78</v>
      </c>
      <c r="T53" s="95">
        <f>Arhive!E45</f>
        <v>2631.75</v>
      </c>
      <c r="U53" s="95">
        <f>Arhive!F45</f>
        <v>2640</v>
      </c>
      <c r="V53" s="95">
        <f>SUM(S53:T53)-U53</f>
        <v>1299.5299999999997</v>
      </c>
      <c r="W53" s="6"/>
      <c r="X53" s="6"/>
    </row>
    <row r="54" spans="1:24" s="99" customFormat="1" ht="9.75" customHeight="1">
      <c r="A54" s="98"/>
      <c r="B54" s="102">
        <f>Arhive!A46</f>
        <v>25</v>
      </c>
      <c r="C54" s="91">
        <f>Arhive!G46</f>
        <v>27</v>
      </c>
      <c r="D54" s="101" t="str">
        <f>Arhive!B46</f>
        <v>Михайленко С.Г.</v>
      </c>
      <c r="E54" s="93" t="s">
        <v>27</v>
      </c>
      <c r="F54" s="94">
        <f>Arhive!C46</f>
        <v>4945.5</v>
      </c>
      <c r="G54" s="95">
        <f>Arhive!D46</f>
        <v>4945.5</v>
      </c>
      <c r="H54" s="95">
        <f>F54-G54</f>
        <v>0</v>
      </c>
      <c r="I54" s="96">
        <f>IF(H54=0,0,H44*100/H54)</f>
        <v>0</v>
      </c>
      <c r="J54" s="95">
        <f>IF(H54&gt;150,IF(H54=0,0,H54*100/H54*150/100),H54)</f>
        <v>0</v>
      </c>
      <c r="K54" s="95">
        <f>IF(H54&lt;600,H54-J54,450*(IF(H54=0,0,H54*100/H54))/100)</f>
        <v>0</v>
      </c>
      <c r="L54" s="95">
        <f>H54-J54-K54</f>
        <v>0</v>
      </c>
      <c r="M54" s="54">
        <v>5.05</v>
      </c>
      <c r="N54" s="54">
        <v>5.47</v>
      </c>
      <c r="O54" s="54">
        <v>9.4</v>
      </c>
      <c r="P54" s="95">
        <f>IF(H54&lt;J54,H54*M54,J54*M54)</f>
        <v>0</v>
      </c>
      <c r="Q54" s="95">
        <f t="shared" si="9"/>
        <v>0</v>
      </c>
      <c r="R54" s="95">
        <f t="shared" si="9"/>
        <v>0</v>
      </c>
      <c r="S54" s="95">
        <f>ROUND(SUM(P54:R54),2)</f>
        <v>0</v>
      </c>
      <c r="T54" s="95">
        <f>Arhive!E46</f>
        <v>-15.04</v>
      </c>
      <c r="U54" s="95">
        <f>Arhive!F46</f>
        <v>0</v>
      </c>
      <c r="V54" s="95">
        <f>SUM(S54:T54)-U54</f>
        <v>-15.04</v>
      </c>
      <c r="W54" s="6"/>
      <c r="X54" s="6"/>
    </row>
    <row r="55" spans="1:24" s="99" customFormat="1" ht="9.75" customHeight="1">
      <c r="A55" s="98"/>
      <c r="B55" s="165">
        <f>Arhive!A47</f>
        <v>26</v>
      </c>
      <c r="C55" s="162">
        <f>Arhive!G47</f>
        <v>20</v>
      </c>
      <c r="D55" s="160" t="str">
        <f>Arhive!B47</f>
        <v>Ненахов С.А.</v>
      </c>
      <c r="E55" s="93" t="s">
        <v>3</v>
      </c>
      <c r="F55" s="94">
        <f>Arhive!C47</f>
        <v>46053.79</v>
      </c>
      <c r="G55" s="95">
        <f>Arhive!D47</f>
        <v>45418.89</v>
      </c>
      <c r="H55" s="95">
        <f t="shared" si="5"/>
        <v>634.90000000000146</v>
      </c>
      <c r="I55" s="96">
        <f>IF(H55=0,0,H55*100/(H55+H56))</f>
        <v>62.670891448764806</v>
      </c>
      <c r="J55" s="95">
        <f>IF((H55+H56)&gt;150,IF(H55=0,0,H55*100/(H55+H56)*150/100),H55)</f>
        <v>94.006337173147202</v>
      </c>
      <c r="K55" s="95">
        <f>IF(H55+H56&lt;600,H55-J55,450*(IF(H55=0,0,H55*100/(H55+H56)))/100)</f>
        <v>282.01901151944162</v>
      </c>
      <c r="L55" s="95">
        <f>H55-J55-K55</f>
        <v>258.87465130741259</v>
      </c>
      <c r="M55" s="54">
        <v>5.05</v>
      </c>
      <c r="N55" s="54">
        <v>5.47</v>
      </c>
      <c r="O55" s="54">
        <v>9.4</v>
      </c>
      <c r="P55" s="95">
        <f t="shared" si="6"/>
        <v>474.73200272439334</v>
      </c>
      <c r="Q55" s="95">
        <f t="shared" si="7"/>
        <v>1542.6439930113456</v>
      </c>
      <c r="R55" s="95">
        <f t="shared" si="8"/>
        <v>2433.4217222896787</v>
      </c>
      <c r="S55" s="161">
        <f>ROUND(SUM(P55:R56),2)</f>
        <v>6432.92</v>
      </c>
      <c r="T55" s="161">
        <f>Arhive!E47</f>
        <v>19047.41</v>
      </c>
      <c r="U55" s="161">
        <f>Arhive!F47</f>
        <v>19047.41</v>
      </c>
      <c r="V55" s="163">
        <f>SUM(S55:T56)-U55</f>
        <v>6432.9200000000019</v>
      </c>
      <c r="W55" s="6"/>
      <c r="X55" s="6"/>
    </row>
    <row r="56" spans="1:24" s="99" customFormat="1" ht="9.75" customHeight="1">
      <c r="A56" s="98"/>
      <c r="B56" s="165">
        <v>27</v>
      </c>
      <c r="C56" s="162"/>
      <c r="D56" s="160" t="str">
        <f>D55</f>
        <v>Ненахов С.А.</v>
      </c>
      <c r="E56" s="93" t="s">
        <v>4</v>
      </c>
      <c r="F56" s="94">
        <f>Arhive!C48</f>
        <v>17602.689999999999</v>
      </c>
      <c r="G56" s="95">
        <f>Arhive!D48</f>
        <v>17224.52</v>
      </c>
      <c r="H56" s="95">
        <f t="shared" si="5"/>
        <v>378.16999999999825</v>
      </c>
      <c r="I56" s="96">
        <f>IF(H56=0,0,H56*100/(H56+H55))</f>
        <v>37.329108551235194</v>
      </c>
      <c r="J56" s="95">
        <f>IF((H55+H56)&gt;150,IF(H55=0,0,H56*100/(H55+H56)*150/100),H56)</f>
        <v>55.993662826852784</v>
      </c>
      <c r="K56" s="95">
        <f>IF(H56+H55&lt;600,H56-J56,450*(IF(H56=0,0,H56*100/(H56+H55)))/100)</f>
        <v>167.98098848055838</v>
      </c>
      <c r="L56" s="95">
        <f>H56-K56-J56</f>
        <v>154.19534869258709</v>
      </c>
      <c r="M56" s="54">
        <v>3.52</v>
      </c>
      <c r="N56" s="54">
        <v>4.21</v>
      </c>
      <c r="O56" s="54">
        <v>6.99</v>
      </c>
      <c r="P56" s="95">
        <f t="shared" si="6"/>
        <v>197.09769315052179</v>
      </c>
      <c r="Q56" s="95">
        <f t="shared" si="7"/>
        <v>707.1999615031508</v>
      </c>
      <c r="R56" s="95">
        <f t="shared" si="8"/>
        <v>1077.8254873611838</v>
      </c>
      <c r="S56" s="161"/>
      <c r="T56" s="161"/>
      <c r="U56" s="161"/>
      <c r="V56" s="163"/>
      <c r="W56" s="6"/>
      <c r="X56" s="6"/>
    </row>
    <row r="57" spans="1:24" s="99" customFormat="1" ht="9.75" customHeight="1">
      <c r="A57" s="98"/>
      <c r="B57" s="165">
        <f>Arhive!A49</f>
        <v>27</v>
      </c>
      <c r="C57" s="162">
        <f>Arhive!G49</f>
        <v>50</v>
      </c>
      <c r="D57" s="160" t="str">
        <f>Arhive!B49</f>
        <v>Новацкий О.В.</v>
      </c>
      <c r="E57" s="93" t="s">
        <v>3</v>
      </c>
      <c r="F57" s="94">
        <f>Arhive!C49</f>
        <v>13372.67</v>
      </c>
      <c r="G57" s="95">
        <f>Arhive!D49</f>
        <v>13168.71</v>
      </c>
      <c r="H57" s="95">
        <f t="shared" si="5"/>
        <v>203.96000000000095</v>
      </c>
      <c r="I57" s="96">
        <f>IF(H57=0,0,H57*100/(H57+H58))</f>
        <v>70.679557819593342</v>
      </c>
      <c r="J57" s="95">
        <f>IF((H57+H58)&gt;150,IF(H57=0,0,H57*100/(H57+H58)*150/100),H57)</f>
        <v>106.01933672939002</v>
      </c>
      <c r="K57" s="95">
        <f>IF(H57+H58&lt;600,H57-J57,450*(IF(H57=0,0,H57*100/(H57+H58)))/100)</f>
        <v>97.940663270610926</v>
      </c>
      <c r="L57" s="95">
        <f>H57-J57-K57</f>
        <v>0</v>
      </c>
      <c r="M57" s="54">
        <v>5.05</v>
      </c>
      <c r="N57" s="54">
        <v>5.47</v>
      </c>
      <c r="O57" s="54">
        <v>9.4</v>
      </c>
      <c r="P57" s="95">
        <f t="shared" si="6"/>
        <v>535.39765048341962</v>
      </c>
      <c r="Q57" s="95">
        <f t="shared" si="7"/>
        <v>535.73542809024173</v>
      </c>
      <c r="R57" s="95">
        <f t="shared" si="8"/>
        <v>0</v>
      </c>
      <c r="S57" s="161">
        <f>ROUND(SUM(P57:R58),2)</f>
        <v>1396.99</v>
      </c>
      <c r="T57" s="161">
        <f>Arhive!E49</f>
        <v>-47.769999999999527</v>
      </c>
      <c r="U57" s="161">
        <f>Arhive!F49</f>
        <v>1500</v>
      </c>
      <c r="V57" s="161">
        <f>SUM(S57:T58)-U57</f>
        <v>-150.77999999999952</v>
      </c>
      <c r="W57" s="6"/>
      <c r="X57" s="6"/>
    </row>
    <row r="58" spans="1:24" s="99" customFormat="1" ht="9.75" customHeight="1">
      <c r="A58" s="98"/>
      <c r="B58" s="165">
        <v>28</v>
      </c>
      <c r="C58" s="162"/>
      <c r="D58" s="160" t="str">
        <f>D57</f>
        <v>Новацкий О.В.</v>
      </c>
      <c r="E58" s="93" t="s">
        <v>4</v>
      </c>
      <c r="F58" s="94">
        <f>Arhive!C50</f>
        <v>5584.13</v>
      </c>
      <c r="G58" s="95">
        <f>Arhive!D50</f>
        <v>5499.52</v>
      </c>
      <c r="H58" s="95">
        <f t="shared" si="5"/>
        <v>84.609999999999673</v>
      </c>
      <c r="I58" s="96">
        <f>IF(H58=0,0,H58*100/(H58+H57))</f>
        <v>29.320442180406658</v>
      </c>
      <c r="J58" s="95">
        <f>IF((H57+H58)&gt;150,IF(H57=0,0,H58*100/(H57+H58)*150/100),H58)</f>
        <v>43.980663270609988</v>
      </c>
      <c r="K58" s="95">
        <f>IF(H58+H57&lt;600,H58-J58,450*(IF(H58=0,0,H58*100/(H58+H57)))/100)</f>
        <v>40.629336729389685</v>
      </c>
      <c r="L58" s="95">
        <f>H58-K58-J58</f>
        <v>0</v>
      </c>
      <c r="M58" s="54">
        <v>3.52</v>
      </c>
      <c r="N58" s="54">
        <v>4.21</v>
      </c>
      <c r="O58" s="54">
        <v>6.99</v>
      </c>
      <c r="P58" s="95">
        <f t="shared" si="6"/>
        <v>154.81193471254716</v>
      </c>
      <c r="Q58" s="95">
        <f t="shared" si="7"/>
        <v>171.04950763073057</v>
      </c>
      <c r="R58" s="95">
        <f t="shared" si="8"/>
        <v>0</v>
      </c>
      <c r="S58" s="161"/>
      <c r="T58" s="161"/>
      <c r="U58" s="161"/>
      <c r="V58" s="161"/>
      <c r="W58" s="6"/>
      <c r="X58" s="6"/>
    </row>
    <row r="59" spans="1:24" s="99" customFormat="1" ht="9.75" customHeight="1">
      <c r="A59" s="98"/>
      <c r="B59" s="165">
        <f>Arhive!A51</f>
        <v>28</v>
      </c>
      <c r="C59" s="162">
        <f>Arhive!G51</f>
        <v>4</v>
      </c>
      <c r="D59" s="160" t="str">
        <f>Arhive!B51</f>
        <v>Носовский В.А.</v>
      </c>
      <c r="E59" s="93" t="s">
        <v>3</v>
      </c>
      <c r="F59" s="94">
        <f>Arhive!C51</f>
        <v>43.61</v>
      </c>
      <c r="G59" s="95">
        <f>Arhive!D51</f>
        <v>43.56</v>
      </c>
      <c r="H59" s="95">
        <f t="shared" si="5"/>
        <v>4.9999999999997158E-2</v>
      </c>
      <c r="I59" s="96">
        <f>IF(H59=0,0,H59*100/(H59+H60))</f>
        <v>49.999999999998444</v>
      </c>
      <c r="J59" s="95">
        <f>IF((H59+H60)&gt;150,IF(H59=0,0,H59*100/(H59+H60)*150/100),H59)</f>
        <v>4.9999999999997158E-2</v>
      </c>
      <c r="K59" s="95">
        <f>IF(H59+H60&lt;600,H59-J59,450*(IF(H59=0,0,H59*100/(H59+H60)))/100)</f>
        <v>0</v>
      </c>
      <c r="L59" s="95">
        <f>H59-J59-K59</f>
        <v>0</v>
      </c>
      <c r="M59" s="54">
        <v>5.05</v>
      </c>
      <c r="N59" s="54">
        <v>5.47</v>
      </c>
      <c r="O59" s="54">
        <v>9.4</v>
      </c>
      <c r="P59" s="95">
        <f t="shared" si="6"/>
        <v>0.25249999999998562</v>
      </c>
      <c r="Q59" s="95">
        <f t="shared" si="7"/>
        <v>0</v>
      </c>
      <c r="R59" s="95">
        <f t="shared" si="8"/>
        <v>0</v>
      </c>
      <c r="S59" s="161">
        <f>ROUND(SUM(P59:R60),2)</f>
        <v>0.43</v>
      </c>
      <c r="T59" s="161">
        <f>Arhive!E51</f>
        <v>-302.7</v>
      </c>
      <c r="U59" s="161">
        <f>Arhive!F51</f>
        <v>0</v>
      </c>
      <c r="V59" s="161">
        <f>SUM(S59:T60)-U59</f>
        <v>-302.27</v>
      </c>
      <c r="W59" s="6"/>
      <c r="X59" s="6"/>
    </row>
    <row r="60" spans="1:24" s="99" customFormat="1" ht="9.75" customHeight="1">
      <c r="A60" s="98"/>
      <c r="B60" s="165">
        <v>29</v>
      </c>
      <c r="C60" s="162"/>
      <c r="D60" s="160" t="str">
        <f>D59</f>
        <v>Носовский В.А.</v>
      </c>
      <c r="E60" s="93" t="s">
        <v>4</v>
      </c>
      <c r="F60" s="94">
        <f>Arhive!C52</f>
        <v>3.39</v>
      </c>
      <c r="G60" s="95">
        <f>Arhive!D52</f>
        <v>3.34</v>
      </c>
      <c r="H60" s="95">
        <f t="shared" si="5"/>
        <v>5.0000000000000266E-2</v>
      </c>
      <c r="I60" s="96">
        <f>IF(H60=0,0,H60*100/(H60+H59))</f>
        <v>50.000000000001556</v>
      </c>
      <c r="J60" s="95">
        <f>IF((H59+H60)&gt;150,IF(H59=0,0,H60*100/(H59+H60)*150/100),H60)</f>
        <v>5.0000000000000266E-2</v>
      </c>
      <c r="K60" s="95">
        <f>IF(H60+H59&lt;600,H60-J60,450*(IF(H60=0,0,H60*100/(H60+H59)))/100)</f>
        <v>0</v>
      </c>
      <c r="L60" s="95">
        <f>H60-K60-J60</f>
        <v>0</v>
      </c>
      <c r="M60" s="54">
        <v>3.52</v>
      </c>
      <c r="N60" s="54">
        <v>4.21</v>
      </c>
      <c r="O60" s="54">
        <v>6.99</v>
      </c>
      <c r="P60" s="95">
        <f t="shared" si="6"/>
        <v>0.17600000000000093</v>
      </c>
      <c r="Q60" s="95">
        <f t="shared" si="7"/>
        <v>0</v>
      </c>
      <c r="R60" s="95">
        <f t="shared" si="8"/>
        <v>0</v>
      </c>
      <c r="S60" s="161"/>
      <c r="T60" s="161"/>
      <c r="U60" s="161"/>
      <c r="V60" s="161"/>
      <c r="W60" s="6"/>
      <c r="X60" s="6"/>
    </row>
    <row r="61" spans="1:24" s="99" customFormat="1" ht="9.75" customHeight="1">
      <c r="A61" s="98"/>
      <c r="B61" s="165">
        <f>Arhive!A53</f>
        <v>29</v>
      </c>
      <c r="C61" s="162">
        <f>Arhive!G53</f>
        <v>32</v>
      </c>
      <c r="D61" s="160" t="str">
        <f>Arhive!B53</f>
        <v>Ольшинецкий В.В.</v>
      </c>
      <c r="E61" s="93" t="s">
        <v>3</v>
      </c>
      <c r="F61" s="94">
        <f>Arhive!C53</f>
        <v>7069.85</v>
      </c>
      <c r="G61" s="95">
        <f>Arhive!D53</f>
        <v>6963.03</v>
      </c>
      <c r="H61" s="95">
        <f t="shared" si="5"/>
        <v>106.82000000000062</v>
      </c>
      <c r="I61" s="96">
        <f>IF(H61=0,0,H61*100/(H61+H62))</f>
        <v>73.029329322485907</v>
      </c>
      <c r="J61" s="95">
        <f>IF((H61+H62)&gt;150,IF(H61=0,0,H61*100/(H61+H62)*150/100),H61)</f>
        <v>106.82000000000062</v>
      </c>
      <c r="K61" s="95">
        <f>IF(H61+H62&lt;600,H61-J61,450*(IF(H61=0,0,H61*100/(H61+H62)))/100)</f>
        <v>0</v>
      </c>
      <c r="L61" s="95">
        <f>H61-J61-K61</f>
        <v>0</v>
      </c>
      <c r="M61" s="54">
        <v>5.05</v>
      </c>
      <c r="N61" s="54">
        <v>5.47</v>
      </c>
      <c r="O61" s="54">
        <v>9.4</v>
      </c>
      <c r="P61" s="95">
        <f t="shared" si="6"/>
        <v>539.4410000000031</v>
      </c>
      <c r="Q61" s="95">
        <f t="shared" si="7"/>
        <v>0</v>
      </c>
      <c r="R61" s="95">
        <f t="shared" si="8"/>
        <v>0</v>
      </c>
      <c r="S61" s="161">
        <f>ROUND(SUM(P61:R62),2)</f>
        <v>678.31</v>
      </c>
      <c r="T61" s="161">
        <f>Arhive!E53</f>
        <v>-49.889999999999816</v>
      </c>
      <c r="U61" s="161">
        <f>Arhive!F53</f>
        <v>1350</v>
      </c>
      <c r="V61" s="161">
        <f>SUM(S61:T62)-U61</f>
        <v>-721.57999999999993</v>
      </c>
      <c r="W61" s="6"/>
      <c r="X61" s="6"/>
    </row>
    <row r="62" spans="1:24" s="99" customFormat="1" ht="9.75" customHeight="1">
      <c r="A62" s="98"/>
      <c r="B62" s="165">
        <v>30</v>
      </c>
      <c r="C62" s="162"/>
      <c r="D62" s="160" t="str">
        <f>D61</f>
        <v>Ольшинецкий В.В.</v>
      </c>
      <c r="E62" s="93" t="s">
        <v>4</v>
      </c>
      <c r="F62" s="94">
        <f>Arhive!C54</f>
        <v>1837.21</v>
      </c>
      <c r="G62" s="95">
        <f>Arhive!D54</f>
        <v>1797.76</v>
      </c>
      <c r="H62" s="95">
        <f t="shared" si="5"/>
        <v>39.450000000000045</v>
      </c>
      <c r="I62" s="96">
        <f>IF(H62=0,0,H62*100/(H62+H61))</f>
        <v>26.970670677514097</v>
      </c>
      <c r="J62" s="95">
        <f>IF((H61+H62)&gt;150,IF(H61=0,0,H62*100/(H61+H62)*150/100),H62)</f>
        <v>39.450000000000045</v>
      </c>
      <c r="K62" s="95">
        <f>IF(H62+H61&lt;600,H62-J62,450*(IF(H62=0,0,H62*100/(H62+H61)))/100)</f>
        <v>0</v>
      </c>
      <c r="L62" s="95">
        <f>H62-K62-J62</f>
        <v>0</v>
      </c>
      <c r="M62" s="54">
        <v>3.52</v>
      </c>
      <c r="N62" s="54">
        <v>4.21</v>
      </c>
      <c r="O62" s="54">
        <v>6.99</v>
      </c>
      <c r="P62" s="95">
        <f t="shared" si="6"/>
        <v>138.86400000000017</v>
      </c>
      <c r="Q62" s="95">
        <f t="shared" si="7"/>
        <v>0</v>
      </c>
      <c r="R62" s="95">
        <f t="shared" si="8"/>
        <v>0</v>
      </c>
      <c r="S62" s="161"/>
      <c r="T62" s="161"/>
      <c r="U62" s="161"/>
      <c r="V62" s="161"/>
      <c r="W62" s="6"/>
      <c r="X62" s="6"/>
    </row>
    <row r="63" spans="1:24" s="99" customFormat="1" ht="9.75" customHeight="1">
      <c r="A63" s="98"/>
      <c r="B63" s="100">
        <f>Arhive!A55</f>
        <v>30</v>
      </c>
      <c r="C63" s="91">
        <f>Arhive!G55</f>
        <v>48</v>
      </c>
      <c r="D63" s="92" t="str">
        <f>Arhive!B55</f>
        <v>Оселедец В.Д.</v>
      </c>
      <c r="E63" s="93" t="s">
        <v>27</v>
      </c>
      <c r="F63" s="94">
        <f>Arhive!C55</f>
        <v>2305.6</v>
      </c>
      <c r="G63" s="95">
        <f>Arhive!D55</f>
        <v>2300.6</v>
      </c>
      <c r="H63" s="95">
        <f t="shared" si="5"/>
        <v>5</v>
      </c>
      <c r="I63" s="96">
        <f>IF(H63=0,0,H63*100/H63)</f>
        <v>100</v>
      </c>
      <c r="J63" s="95">
        <f>IF(H63&gt;150,IF(H63=0,0,H63*100/H63*150/100),H63)</f>
        <v>5</v>
      </c>
      <c r="K63" s="95">
        <f>IF(H63&lt;600,H63-J63,450*(IF(H63=0,0,H63*100/H63))/100)</f>
        <v>0</v>
      </c>
      <c r="L63" s="95">
        <f>H63-J63-K63</f>
        <v>0</v>
      </c>
      <c r="M63" s="54">
        <v>5.05</v>
      </c>
      <c r="N63" s="54">
        <v>5.47</v>
      </c>
      <c r="O63" s="54">
        <v>9.4</v>
      </c>
      <c r="P63" s="95">
        <f t="shared" si="6"/>
        <v>25.25</v>
      </c>
      <c r="Q63" s="95">
        <f t="shared" si="7"/>
        <v>0</v>
      </c>
      <c r="R63" s="95">
        <f t="shared" si="8"/>
        <v>0</v>
      </c>
      <c r="S63" s="95">
        <f>ROUND(SUM(P63:R63),2)</f>
        <v>25.25</v>
      </c>
      <c r="T63" s="95">
        <f>Arhive!E55</f>
        <v>38.689999999999856</v>
      </c>
      <c r="U63" s="95">
        <f>Arhive!F55</f>
        <v>57</v>
      </c>
      <c r="V63" s="95">
        <f>SUM(S63:T63)-U63</f>
        <v>6.9399999999998556</v>
      </c>
      <c r="W63" s="6"/>
      <c r="X63" s="6"/>
    </row>
    <row r="64" spans="1:24" s="99" customFormat="1" ht="9.75" customHeight="1">
      <c r="A64" s="98"/>
      <c r="B64" s="165">
        <f>Arhive!A56</f>
        <v>31</v>
      </c>
      <c r="C64" s="162">
        <f>Arhive!G56</f>
        <v>33</v>
      </c>
      <c r="D64" s="160" t="str">
        <f>Arhive!B56</f>
        <v>Пильник А.Я.</v>
      </c>
      <c r="E64" s="93" t="s">
        <v>3</v>
      </c>
      <c r="F64" s="94">
        <f>Arhive!C56</f>
        <v>21100.61</v>
      </c>
      <c r="G64" s="95">
        <f>Arhive!D56</f>
        <v>20816.77</v>
      </c>
      <c r="H64" s="95">
        <f t="shared" si="5"/>
        <v>283.84000000000015</v>
      </c>
      <c r="I64" s="96">
        <f>IF(H64=0,0,H64*100/(H64+H65))</f>
        <v>70.654419635078241</v>
      </c>
      <c r="J64" s="95">
        <f>IF((H64+H65)&gt;150,IF(H64=0,0,H64*100/(H64+H65)*150/100),H64)</f>
        <v>105.98162945261737</v>
      </c>
      <c r="K64" s="95">
        <f>IF(H64+H65&lt;600,H64-J64,450*(IF(H64=0,0,H64*100/(H64+H65)))/100)</f>
        <v>177.85837054738278</v>
      </c>
      <c r="L64" s="95">
        <f>H64-J64-K64</f>
        <v>0</v>
      </c>
      <c r="M64" s="54">
        <v>5.05</v>
      </c>
      <c r="N64" s="54">
        <v>5.47</v>
      </c>
      <c r="O64" s="54">
        <v>9.4</v>
      </c>
      <c r="P64" s="95">
        <f t="shared" si="6"/>
        <v>535.20722873571765</v>
      </c>
      <c r="Q64" s="95">
        <f t="shared" si="7"/>
        <v>972.88528689418376</v>
      </c>
      <c r="R64" s="95">
        <f t="shared" si="8"/>
        <v>0</v>
      </c>
      <c r="S64" s="161">
        <f>ROUND(SUM(P64:R65),2)</f>
        <v>1974.04</v>
      </c>
      <c r="T64" s="161">
        <f>Arhive!E56</f>
        <v>2665.42</v>
      </c>
      <c r="U64" s="161">
        <f>Arhive!F56</f>
        <v>2665.42</v>
      </c>
      <c r="V64" s="161">
        <f>SUM(S64:T65)-U64</f>
        <v>1974.04</v>
      </c>
      <c r="W64" s="6"/>
      <c r="X64" s="6"/>
    </row>
    <row r="65" spans="1:24" s="99" customFormat="1" ht="9.75" customHeight="1">
      <c r="A65" s="98"/>
      <c r="B65" s="165">
        <v>32</v>
      </c>
      <c r="C65" s="162"/>
      <c r="D65" s="160" t="str">
        <f>D64</f>
        <v>Пильник А.Я.</v>
      </c>
      <c r="E65" s="93" t="s">
        <v>4</v>
      </c>
      <c r="F65" s="94">
        <f>Arhive!C57</f>
        <v>7930.14</v>
      </c>
      <c r="G65" s="95">
        <f>Arhive!D57</f>
        <v>7812.25</v>
      </c>
      <c r="H65" s="95">
        <f t="shared" si="5"/>
        <v>117.89000000000033</v>
      </c>
      <c r="I65" s="96">
        <f>IF(H65=0,0,H65*100/(H65+H64))</f>
        <v>29.345580364921762</v>
      </c>
      <c r="J65" s="95">
        <f>IF((H64+H65)&gt;150,IF(H64=0,0,H65*100/(H64+H65)*150/100),H65)</f>
        <v>44.018370547382645</v>
      </c>
      <c r="K65" s="95">
        <f>IF(H65+H64&lt;600,H65-J65,450*(IF(H65=0,0,H65*100/(H65+H64)))/100)</f>
        <v>73.871629452617682</v>
      </c>
      <c r="L65" s="95">
        <f>H65-K65-J65</f>
        <v>0</v>
      </c>
      <c r="M65" s="54">
        <v>3.52</v>
      </c>
      <c r="N65" s="54">
        <v>4.21</v>
      </c>
      <c r="O65" s="54">
        <v>6.99</v>
      </c>
      <c r="P65" s="95">
        <f t="shared" si="6"/>
        <v>154.94466432678692</v>
      </c>
      <c r="Q65" s="95">
        <f t="shared" si="7"/>
        <v>310.99955999552043</v>
      </c>
      <c r="R65" s="95">
        <f t="shared" si="8"/>
        <v>0</v>
      </c>
      <c r="S65" s="161"/>
      <c r="T65" s="161"/>
      <c r="U65" s="161"/>
      <c r="V65" s="161"/>
      <c r="W65" s="6"/>
      <c r="X65" s="6"/>
    </row>
    <row r="66" spans="1:24" s="99" customFormat="1" ht="9.75" customHeight="1">
      <c r="A66" s="98"/>
      <c r="B66" s="165">
        <f>Arhive!A58</f>
        <v>32</v>
      </c>
      <c r="C66" s="162">
        <f>Arhive!G58</f>
        <v>34</v>
      </c>
      <c r="D66" s="160" t="str">
        <f>Arhive!B58</f>
        <v>Рок М.В.</v>
      </c>
      <c r="E66" s="93" t="s">
        <v>3</v>
      </c>
      <c r="F66" s="94">
        <f>Arhive!C58</f>
        <v>10762.83</v>
      </c>
      <c r="G66" s="95">
        <f>Arhive!D58</f>
        <v>10736</v>
      </c>
      <c r="H66" s="95">
        <f t="shared" si="5"/>
        <v>26.829999999999927</v>
      </c>
      <c r="I66" s="96">
        <f>IF(H66=0,0,H66*100/(H66+H67))</f>
        <v>57.848210435532266</v>
      </c>
      <c r="J66" s="95">
        <f>IF((H66+H67)&gt;150,IF(H66=0,0,H66*100/(H66+H67)*150/100),H66)</f>
        <v>26.829999999999927</v>
      </c>
      <c r="K66" s="95">
        <f>IF(H66+H67&lt;600,H66-J66,450*(IF(H66=0,0,H66*100/(H66+H67)))/100)</f>
        <v>0</v>
      </c>
      <c r="L66" s="95">
        <f>H66-J66-K66</f>
        <v>0</v>
      </c>
      <c r="M66" s="54">
        <v>5.05</v>
      </c>
      <c r="N66" s="54">
        <v>5.47</v>
      </c>
      <c r="O66" s="54">
        <v>9.4</v>
      </c>
      <c r="P66" s="95">
        <f t="shared" si="6"/>
        <v>135.49149999999963</v>
      </c>
      <c r="Q66" s="95">
        <f t="shared" si="7"/>
        <v>0</v>
      </c>
      <c r="R66" s="95">
        <f t="shared" si="8"/>
        <v>0</v>
      </c>
      <c r="S66" s="161">
        <f>ROUND(SUM(P66:R67),2)</f>
        <v>204.31</v>
      </c>
      <c r="T66" s="161">
        <f>Arhive!E58</f>
        <v>-305.71999999999991</v>
      </c>
      <c r="U66" s="161">
        <f>Arhive!F58</f>
        <v>1000</v>
      </c>
      <c r="V66" s="161">
        <f>SUM(S66:T67)-U66</f>
        <v>-1101.4099999999999</v>
      </c>
      <c r="W66" s="6"/>
      <c r="X66" s="6"/>
    </row>
    <row r="67" spans="1:24" s="99" customFormat="1" ht="9.75" customHeight="1">
      <c r="A67" s="98"/>
      <c r="B67" s="165">
        <v>33</v>
      </c>
      <c r="C67" s="162"/>
      <c r="D67" s="160" t="str">
        <f>D66</f>
        <v>Рок М.В.</v>
      </c>
      <c r="E67" s="93" t="s">
        <v>4</v>
      </c>
      <c r="F67" s="94">
        <f>Arhive!C59</f>
        <v>5317.06</v>
      </c>
      <c r="G67" s="95">
        <f>Arhive!D59</f>
        <v>5297.51</v>
      </c>
      <c r="H67" s="95">
        <f t="shared" si="5"/>
        <v>19.550000000000182</v>
      </c>
      <c r="I67" s="96">
        <f>IF(H67=0,0,H67*100/(H67+H66))</f>
        <v>42.151789564467734</v>
      </c>
      <c r="J67" s="95">
        <f>IF((H66+H67)&gt;150,IF(H66=0,0,H67*100/(H66+H67)*150/100),H67)</f>
        <v>19.550000000000182</v>
      </c>
      <c r="K67" s="95">
        <f>IF(H67+H66&lt;600,H67-J67,450*(IF(H67=0,0,H67*100/(H67+H66)))/100)</f>
        <v>0</v>
      </c>
      <c r="L67" s="95">
        <f>H67-K67-J67</f>
        <v>0</v>
      </c>
      <c r="M67" s="54">
        <v>3.52</v>
      </c>
      <c r="N67" s="54">
        <v>4.21</v>
      </c>
      <c r="O67" s="54">
        <v>6.99</v>
      </c>
      <c r="P67" s="95">
        <f t="shared" si="6"/>
        <v>68.816000000000642</v>
      </c>
      <c r="Q67" s="95">
        <f t="shared" si="7"/>
        <v>0</v>
      </c>
      <c r="R67" s="95">
        <f t="shared" si="8"/>
        <v>0</v>
      </c>
      <c r="S67" s="161"/>
      <c r="T67" s="161"/>
      <c r="U67" s="161"/>
      <c r="V67" s="161"/>
      <c r="W67" s="6"/>
      <c r="X67" s="6"/>
    </row>
    <row r="68" spans="1:24" s="99" customFormat="1" ht="9.75" customHeight="1">
      <c r="A68" s="98"/>
      <c r="B68" s="165">
        <f>Arhive!A60</f>
        <v>33</v>
      </c>
      <c r="C68" s="162" t="str">
        <f>Arhive!G60</f>
        <v>56-А</v>
      </c>
      <c r="D68" s="160" t="str">
        <f>Arhive!B60</f>
        <v>Рубцова Т.В.</v>
      </c>
      <c r="E68" s="93" t="s">
        <v>3</v>
      </c>
      <c r="F68" s="94">
        <f>Arhive!C60</f>
        <v>18131.82</v>
      </c>
      <c r="G68" s="95">
        <f>Arhive!D60</f>
        <v>17867.330000000002</v>
      </c>
      <c r="H68" s="95">
        <f t="shared" si="5"/>
        <v>264.48999999999796</v>
      </c>
      <c r="I68" s="96">
        <f>IF(H68=0,0,H68*100/(H68+H69))</f>
        <v>66.844419733117562</v>
      </c>
      <c r="J68" s="95">
        <f>IF((H68+H69)&gt;150,IF(H68=0,0,H68*100/(H68+H69)*150/100),H68)</f>
        <v>100.26662959967635</v>
      </c>
      <c r="K68" s="95">
        <f>IF(H68+H69&lt;600,H68-J68,450*(IF(H68=0,0,H68*100/(H68+H69)))/100)</f>
        <v>164.22337040032161</v>
      </c>
      <c r="L68" s="95">
        <f>H68-J68-K68</f>
        <v>0</v>
      </c>
      <c r="M68" s="54">
        <v>5.05</v>
      </c>
      <c r="N68" s="54">
        <v>5.47</v>
      </c>
      <c r="O68" s="54">
        <v>9.4</v>
      </c>
      <c r="P68" s="95">
        <f t="shared" si="6"/>
        <v>506.34647947836555</v>
      </c>
      <c r="Q68" s="95">
        <f t="shared" si="7"/>
        <v>898.30183608975915</v>
      </c>
      <c r="R68" s="95">
        <f t="shared" si="8"/>
        <v>0</v>
      </c>
      <c r="S68" s="161">
        <f>ROUND(SUM(P68:R69),2)</f>
        <v>1922.64</v>
      </c>
      <c r="T68" s="161">
        <f>Arhive!E60</f>
        <v>2444.6499999999996</v>
      </c>
      <c r="U68" s="161">
        <f>Arhive!F60</f>
        <v>2000</v>
      </c>
      <c r="V68" s="163">
        <f>SUM(S68:T69)-U68</f>
        <v>2367.29</v>
      </c>
      <c r="W68" s="6"/>
      <c r="X68" s="6"/>
    </row>
    <row r="69" spans="1:24" s="99" customFormat="1" ht="9.75" customHeight="1">
      <c r="A69" s="98"/>
      <c r="B69" s="165">
        <v>34</v>
      </c>
      <c r="C69" s="162"/>
      <c r="D69" s="160" t="str">
        <f>D68</f>
        <v>Рубцова Т.В.</v>
      </c>
      <c r="E69" s="93" t="s">
        <v>4</v>
      </c>
      <c r="F69" s="94">
        <f>Arhive!C61</f>
        <v>6382.58</v>
      </c>
      <c r="G69" s="95">
        <f>Arhive!D61</f>
        <v>6251.39</v>
      </c>
      <c r="H69" s="95">
        <f t="shared" si="5"/>
        <v>131.1899999999996</v>
      </c>
      <c r="I69" s="96">
        <f>IF(H69=0,0,H69*100/(H69+H68))</f>
        <v>33.155580266882431</v>
      </c>
      <c r="J69" s="95">
        <f>IF((H68+H69)&gt;150,IF(H68=0,0,H69*100/(H68+H69)*150/100),H69)</f>
        <v>49.733370400323651</v>
      </c>
      <c r="K69" s="95">
        <f>IF(H69+H68&lt;600,H69-J69,450*(IF(H69=0,0,H69*100/(H69+H68)))/100)</f>
        <v>81.456629599675949</v>
      </c>
      <c r="L69" s="95">
        <f>H69-K69-J69</f>
        <v>0</v>
      </c>
      <c r="M69" s="54">
        <v>3.52</v>
      </c>
      <c r="N69" s="54">
        <v>4.21</v>
      </c>
      <c r="O69" s="54">
        <v>6.99</v>
      </c>
      <c r="P69" s="95">
        <f t="shared" si="6"/>
        <v>175.06146380913924</v>
      </c>
      <c r="Q69" s="95">
        <f t="shared" si="7"/>
        <v>342.93241061463573</v>
      </c>
      <c r="R69" s="95">
        <f t="shared" si="8"/>
        <v>0</v>
      </c>
      <c r="S69" s="161"/>
      <c r="T69" s="161"/>
      <c r="U69" s="161"/>
      <c r="V69" s="163"/>
      <c r="W69" s="6"/>
      <c r="X69" s="6"/>
    </row>
    <row r="70" spans="1:24" s="99" customFormat="1" ht="9.75" customHeight="1">
      <c r="A70" s="98"/>
      <c r="B70" s="165">
        <f>Arhive!A62</f>
        <v>34</v>
      </c>
      <c r="C70" s="162">
        <f>Arhive!G62</f>
        <v>37</v>
      </c>
      <c r="D70" s="160" t="str">
        <f>Arhive!B62</f>
        <v>Самойленко С.Б.</v>
      </c>
      <c r="E70" s="93" t="s">
        <v>3</v>
      </c>
      <c r="F70" s="94">
        <f>Arhive!C62</f>
        <v>22495.56</v>
      </c>
      <c r="G70" s="95">
        <f>Arhive!D62</f>
        <v>22212.48</v>
      </c>
      <c r="H70" s="95">
        <f t="shared" si="5"/>
        <v>283.08000000000175</v>
      </c>
      <c r="I70" s="96">
        <f>IF(H70=0,0,H70*100/(H70+H71))</f>
        <v>68.514170922380885</v>
      </c>
      <c r="J70" s="95">
        <f>IF((H70+H71)&gt;150,IF(H70=0,0,H70*100/(H70+H71)*150/100),H70)</f>
        <v>102.77125638357133</v>
      </c>
      <c r="K70" s="95">
        <f>IF(H70+H71&lt;600,H70-J70,450*(IF(H70=0,0,H70*100/(H70+H71)))/100)</f>
        <v>180.30874361643043</v>
      </c>
      <c r="L70" s="95">
        <f>H70-J70-K70</f>
        <v>0</v>
      </c>
      <c r="M70" s="54">
        <v>5.05</v>
      </c>
      <c r="N70" s="54">
        <v>5.47</v>
      </c>
      <c r="O70" s="54">
        <v>9.4</v>
      </c>
      <c r="P70" s="95">
        <f t="shared" si="6"/>
        <v>518.99484473703524</v>
      </c>
      <c r="Q70" s="95">
        <f t="shared" si="7"/>
        <v>986.28882758187444</v>
      </c>
      <c r="R70" s="95">
        <f t="shared" si="8"/>
        <v>0</v>
      </c>
      <c r="S70" s="161">
        <f>ROUND(SUM(P70:R71),2)</f>
        <v>2020.37</v>
      </c>
      <c r="T70" s="161">
        <f>Arhive!E62</f>
        <v>2131.5500000000002</v>
      </c>
      <c r="U70" s="161">
        <f>Arhive!F62</f>
        <v>2200</v>
      </c>
      <c r="V70" s="161">
        <f>SUM(S70:T71)-U70</f>
        <v>1951.92</v>
      </c>
      <c r="W70" s="6"/>
      <c r="X70" s="6"/>
    </row>
    <row r="71" spans="1:24" s="99" customFormat="1" ht="9.75" customHeight="1">
      <c r="A71" s="98"/>
      <c r="B71" s="165">
        <v>35</v>
      </c>
      <c r="C71" s="162"/>
      <c r="D71" s="160" t="str">
        <f>D70</f>
        <v>Самойленко С.Б.</v>
      </c>
      <c r="E71" s="93" t="s">
        <v>4</v>
      </c>
      <c r="F71" s="94">
        <f>Arhive!C63</f>
        <v>7614.4</v>
      </c>
      <c r="G71" s="95">
        <f>Arhive!D63</f>
        <v>7484.31</v>
      </c>
      <c r="H71" s="95">
        <f t="shared" si="5"/>
        <v>130.08999999999924</v>
      </c>
      <c r="I71" s="96">
        <f>IF(H71=0,0,H71*100/(H71+H70))</f>
        <v>31.485829077619123</v>
      </c>
      <c r="J71" s="95">
        <f>IF((H70+H71)&gt;150,IF(H70=0,0,H71*100/(H70+H71)*150/100),H71)</f>
        <v>47.22874361642868</v>
      </c>
      <c r="K71" s="95">
        <f>IF(H71+H70&lt;600,H71-J71,450*(IF(H71=0,0,H71*100/(H71+H70)))/100)</f>
        <v>82.861256383570549</v>
      </c>
      <c r="L71" s="95">
        <f>H71-K71-J71</f>
        <v>0</v>
      </c>
      <c r="M71" s="54">
        <v>3.52</v>
      </c>
      <c r="N71" s="54">
        <v>4.21</v>
      </c>
      <c r="O71" s="54">
        <v>6.99</v>
      </c>
      <c r="P71" s="95">
        <f t="shared" si="6"/>
        <v>166.24517752982896</v>
      </c>
      <c r="Q71" s="95">
        <f t="shared" si="7"/>
        <v>348.84588937483198</v>
      </c>
      <c r="R71" s="95">
        <f t="shared" si="8"/>
        <v>0</v>
      </c>
      <c r="S71" s="161"/>
      <c r="T71" s="161"/>
      <c r="U71" s="161"/>
      <c r="V71" s="161"/>
      <c r="W71" s="6"/>
      <c r="X71" s="6"/>
    </row>
    <row r="72" spans="1:24" s="99" customFormat="1" ht="9.75" customHeight="1">
      <c r="A72" s="98"/>
      <c r="B72" s="165">
        <f>Arhive!A64</f>
        <v>35</v>
      </c>
      <c r="C72" s="162">
        <f>Arhive!G64</f>
        <v>29</v>
      </c>
      <c r="D72" s="160" t="str">
        <f>Arhive!B64</f>
        <v>Сидорец А.С.</v>
      </c>
      <c r="E72" s="93" t="s">
        <v>3</v>
      </c>
      <c r="F72" s="94">
        <f>Arhive!C64</f>
        <v>21462.44</v>
      </c>
      <c r="G72" s="95">
        <f>Arhive!D64</f>
        <v>21263.32</v>
      </c>
      <c r="H72" s="95">
        <f t="shared" ref="H72:H89" si="10">F72-G72</f>
        <v>199.11999999999898</v>
      </c>
      <c r="I72" s="96">
        <f>IF(H72=0,0,H72*100/(H72+H73))</f>
        <v>80.096540627514145</v>
      </c>
      <c r="J72" s="95">
        <f>IF((H72+H73)&gt;150,IF(H72=0,0,H72*100/(H72+H73)*150/100),H72)</f>
        <v>120.14481094127123</v>
      </c>
      <c r="K72" s="95">
        <f>IF(H72+H73&lt;600,H72-J72,450*(IF(H72=0,0,H72*100/(H72+H73)))/100)</f>
        <v>78.97518905872775</v>
      </c>
      <c r="L72" s="95">
        <f>H72-J72-K72</f>
        <v>0</v>
      </c>
      <c r="M72" s="54">
        <v>5.05</v>
      </c>
      <c r="N72" s="54">
        <v>5.47</v>
      </c>
      <c r="O72" s="54">
        <v>9.4</v>
      </c>
      <c r="P72" s="95">
        <f t="shared" ref="P72:P89" si="11">IF(H72&lt;J72,H72*M72,J72*M72)</f>
        <v>606.73129525341972</v>
      </c>
      <c r="Q72" s="95">
        <f t="shared" ref="Q72:Q89" si="12">IF(K72&lt;0,0,K72*N72)</f>
        <v>431.99428415124078</v>
      </c>
      <c r="R72" s="95">
        <f t="shared" ref="R72:R89" si="13">IF(L72&lt;0,0,L72*O72)</f>
        <v>0</v>
      </c>
      <c r="S72" s="161">
        <f>ROUND(SUM(P72:R73),2)</f>
        <v>1226.44</v>
      </c>
      <c r="T72" s="161">
        <f>Arhive!E64</f>
        <v>2110.4499999999998</v>
      </c>
      <c r="U72" s="161">
        <f>Arhive!F64</f>
        <v>2110.4499999999998</v>
      </c>
      <c r="V72" s="161">
        <f>SUM(S72:T73)-U72</f>
        <v>1226.44</v>
      </c>
      <c r="W72" s="6"/>
      <c r="X72" s="6"/>
    </row>
    <row r="73" spans="1:24" s="99" customFormat="1" ht="9.75" customHeight="1">
      <c r="A73" s="98"/>
      <c r="B73" s="165">
        <v>36</v>
      </c>
      <c r="C73" s="162"/>
      <c r="D73" s="160" t="str">
        <f>D72</f>
        <v>Сидорец А.С.</v>
      </c>
      <c r="E73" s="93" t="s">
        <v>4</v>
      </c>
      <c r="F73" s="94">
        <f>Arhive!C65</f>
        <v>7484.82</v>
      </c>
      <c r="G73" s="95">
        <f>Arhive!D65</f>
        <v>7435.34</v>
      </c>
      <c r="H73" s="95">
        <f t="shared" si="10"/>
        <v>49.479999999999563</v>
      </c>
      <c r="I73" s="96">
        <f>IF(H73=0,0,H73*100/(H73+H72))</f>
        <v>19.903459372485862</v>
      </c>
      <c r="J73" s="95">
        <f>IF((H72+H73)&gt;150,IF(H72=0,0,H73*100/(H72+H73)*150/100),H73)</f>
        <v>29.855189058728794</v>
      </c>
      <c r="K73" s="95">
        <f>IF(H73+H72&lt;600,H73-J73,450*(IF(H73=0,0,H73*100/(H73+H72)))/100)</f>
        <v>19.62481094127077</v>
      </c>
      <c r="L73" s="95">
        <f>H73-K73-J73</f>
        <v>0</v>
      </c>
      <c r="M73" s="54">
        <v>3.52</v>
      </c>
      <c r="N73" s="54">
        <v>4.21</v>
      </c>
      <c r="O73" s="54">
        <v>6.99</v>
      </c>
      <c r="P73" s="95">
        <f t="shared" si="11"/>
        <v>105.09026548672536</v>
      </c>
      <c r="Q73" s="95">
        <f t="shared" si="12"/>
        <v>82.620454062749943</v>
      </c>
      <c r="R73" s="95">
        <f t="shared" si="13"/>
        <v>0</v>
      </c>
      <c r="S73" s="161"/>
      <c r="T73" s="161"/>
      <c r="U73" s="161"/>
      <c r="V73" s="161"/>
      <c r="W73" s="6"/>
      <c r="X73" s="6"/>
    </row>
    <row r="74" spans="1:24" s="99" customFormat="1" ht="9.75" customHeight="1">
      <c r="A74" s="98"/>
      <c r="B74" s="90">
        <f>Arhive!A66</f>
        <v>36</v>
      </c>
      <c r="C74" s="91" t="str">
        <f>Arhive!G66</f>
        <v>56-Б</v>
      </c>
      <c r="D74" s="92" t="str">
        <f>Arhive!B66</f>
        <v>Сизонов А.В.</v>
      </c>
      <c r="E74" s="93" t="s">
        <v>27</v>
      </c>
      <c r="F74" s="94">
        <f>Arhive!C66</f>
        <v>16209.5</v>
      </c>
      <c r="G74" s="95">
        <f>Arhive!D66</f>
        <v>16030.3</v>
      </c>
      <c r="H74" s="95">
        <f>F74-G74</f>
        <v>179.20000000000073</v>
      </c>
      <c r="I74" s="96">
        <f>IF(H74=0,0,H74*100/H74)</f>
        <v>100</v>
      </c>
      <c r="J74" s="95">
        <f>IF(H74&gt;150,IF(H74=0,0,H74*100/H74*150/100),H74)</f>
        <v>150</v>
      </c>
      <c r="K74" s="95">
        <f>IF(H74&lt;600,H74-J74,450*(IF(H74=0,0,H74*100/H74))/100)</f>
        <v>29.200000000000728</v>
      </c>
      <c r="L74" s="95">
        <f>H74-J74-K74</f>
        <v>0</v>
      </c>
      <c r="M74" s="54">
        <v>5.05</v>
      </c>
      <c r="N74" s="54">
        <v>5.47</v>
      </c>
      <c r="O74" s="54">
        <v>9.4</v>
      </c>
      <c r="P74" s="95">
        <f>IF(H74&lt;J74,H74*M74,J74*M74)</f>
        <v>757.5</v>
      </c>
      <c r="Q74" s="95">
        <f>IF(K74&lt;0,0,K74*N74)</f>
        <v>159.72400000000397</v>
      </c>
      <c r="R74" s="95">
        <f>IF(L74&lt;0,0,L74*O74)</f>
        <v>0</v>
      </c>
      <c r="S74" s="95">
        <f>ROUND(SUM(P74:R74),2)</f>
        <v>917.22</v>
      </c>
      <c r="T74" s="95">
        <f>Arhive!E66</f>
        <v>1021.6700000000001</v>
      </c>
      <c r="U74" s="95">
        <f>Arhive!F66</f>
        <v>1050</v>
      </c>
      <c r="V74" s="95">
        <f>SUM(S74:T74)-U74</f>
        <v>888.8900000000001</v>
      </c>
      <c r="W74" s="6"/>
      <c r="X74" s="6"/>
    </row>
    <row r="75" spans="1:24" s="99" customFormat="1" ht="9.75" customHeight="1">
      <c r="A75" s="98"/>
      <c r="B75" s="165">
        <f>Arhive!A67</f>
        <v>37</v>
      </c>
      <c r="C75" s="162">
        <f>Arhive!G67</f>
        <v>30</v>
      </c>
      <c r="D75" s="160" t="str">
        <f>Arhive!B67</f>
        <v>Смирнов С.В.</v>
      </c>
      <c r="E75" s="93" t="s">
        <v>3</v>
      </c>
      <c r="F75" s="94">
        <f>Arhive!C67</f>
        <v>15175.6</v>
      </c>
      <c r="G75" s="95">
        <f>Arhive!D67</f>
        <v>14990.73</v>
      </c>
      <c r="H75" s="95">
        <f t="shared" si="10"/>
        <v>184.8700000000008</v>
      </c>
      <c r="I75" s="96">
        <f>IF(H75=0,0,H75*100/(H75+H76))</f>
        <v>77.202873131211916</v>
      </c>
      <c r="J75" s="95">
        <f>IF((H75+H76)&gt;150,IF(H75=0,0,H75*100/(H75+H76)*150/100),H75)</f>
        <v>115.80430969681787</v>
      </c>
      <c r="K75" s="95">
        <f>IF(H75+H76&lt;600,H75-J75,450*(IF(H75=0,0,H75*100/(H75+H76)))/100)</f>
        <v>69.065690303182933</v>
      </c>
      <c r="L75" s="95">
        <f>H75-J75-K75</f>
        <v>0</v>
      </c>
      <c r="M75" s="54">
        <v>5.05</v>
      </c>
      <c r="N75" s="54">
        <v>5.47</v>
      </c>
      <c r="O75" s="54">
        <v>9.4</v>
      </c>
      <c r="P75" s="95">
        <f t="shared" si="11"/>
        <v>584.81176396893022</v>
      </c>
      <c r="Q75" s="95">
        <f t="shared" si="12"/>
        <v>377.78932595841064</v>
      </c>
      <c r="R75" s="95">
        <f t="shared" si="13"/>
        <v>0</v>
      </c>
      <c r="S75" s="161">
        <f>ROUND(SUM(P75:R76),2)</f>
        <v>1168.83</v>
      </c>
      <c r="T75" s="161">
        <f>Arhive!E67</f>
        <v>3060.6</v>
      </c>
      <c r="U75" s="161">
        <f>Arhive!F67</f>
        <v>0</v>
      </c>
      <c r="V75" s="161">
        <f>SUM(S75:T76)-U75</f>
        <v>4229.43</v>
      </c>
      <c r="W75" s="6"/>
      <c r="X75" s="6"/>
    </row>
    <row r="76" spans="1:24" s="99" customFormat="1" ht="9.75" customHeight="1">
      <c r="A76" s="98"/>
      <c r="B76" s="165">
        <v>38</v>
      </c>
      <c r="C76" s="162"/>
      <c r="D76" s="160" t="str">
        <f>D75</f>
        <v>Смирнов С.В.</v>
      </c>
      <c r="E76" s="93" t="s">
        <v>4</v>
      </c>
      <c r="F76" s="94">
        <f>Arhive!C68</f>
        <v>4986.12</v>
      </c>
      <c r="G76" s="95">
        <f>Arhive!D68</f>
        <v>4931.53</v>
      </c>
      <c r="H76" s="95">
        <f t="shared" si="10"/>
        <v>54.590000000000146</v>
      </c>
      <c r="I76" s="96">
        <f>IF(H76=0,0,H76*100/(H76+H75))</f>
        <v>22.797126868788077</v>
      </c>
      <c r="J76" s="95">
        <f>IF((H75+H76)&gt;150,IF(H75=0,0,H76*100/(H75+H76)*150/100),H76)</f>
        <v>34.195690303182111</v>
      </c>
      <c r="K76" s="95">
        <f>IF(H76+H75&lt;600,H76-J76,450*(IF(H76=0,0,H76*100/(H76+H75)))/100)</f>
        <v>20.394309696818034</v>
      </c>
      <c r="L76" s="95">
        <f>H76-K76-J76</f>
        <v>0</v>
      </c>
      <c r="M76" s="54">
        <v>3.52</v>
      </c>
      <c r="N76" s="54">
        <v>4.21</v>
      </c>
      <c r="O76" s="54">
        <v>6.99</v>
      </c>
      <c r="P76" s="95">
        <f t="shared" si="11"/>
        <v>120.36882986720103</v>
      </c>
      <c r="Q76" s="95">
        <f t="shared" si="12"/>
        <v>85.860043823603917</v>
      </c>
      <c r="R76" s="95">
        <f t="shared" si="13"/>
        <v>0</v>
      </c>
      <c r="S76" s="161"/>
      <c r="T76" s="161"/>
      <c r="U76" s="161"/>
      <c r="V76" s="161"/>
      <c r="W76" s="6"/>
      <c r="X76" s="6"/>
    </row>
    <row r="77" spans="1:24" s="99" customFormat="1" ht="9.75" customHeight="1">
      <c r="A77" s="98"/>
      <c r="B77" s="165">
        <f>Arhive!A69</f>
        <v>38</v>
      </c>
      <c r="C77" s="162" t="str">
        <f>Arhive!G69</f>
        <v>53/а</v>
      </c>
      <c r="D77" s="160" t="str">
        <f>Arhive!B69</f>
        <v>Трактин В.В.</v>
      </c>
      <c r="E77" s="93" t="s">
        <v>3</v>
      </c>
      <c r="F77" s="94">
        <f>Arhive!C69</f>
        <v>42080.26</v>
      </c>
      <c r="G77" s="95">
        <f>Arhive!D69</f>
        <v>41755.47</v>
      </c>
      <c r="H77" s="95">
        <f t="shared" si="10"/>
        <v>324.79000000000087</v>
      </c>
      <c r="I77" s="96">
        <f>IF(H77=0,0,H77*100/(H77+H78))</f>
        <v>77.808921469982124</v>
      </c>
      <c r="J77" s="95">
        <f>IF((H77+H78)&gt;150,IF(H77=0,0,H77*100/(H77+H78)*150/100),H77)</f>
        <v>116.71338220497319</v>
      </c>
      <c r="K77" s="95">
        <f>IF(H77+H78&lt;600,H77-J77,450*(IF(H77=0,0,H77*100/(H77+H78)))/100)</f>
        <v>208.07661779502769</v>
      </c>
      <c r="L77" s="95">
        <f>H77-J77-K77</f>
        <v>0</v>
      </c>
      <c r="M77" s="54">
        <v>5.05</v>
      </c>
      <c r="N77" s="54">
        <v>5.47</v>
      </c>
      <c r="O77" s="54">
        <v>9.4</v>
      </c>
      <c r="P77" s="95">
        <f t="shared" si="11"/>
        <v>589.40258013511459</v>
      </c>
      <c r="Q77" s="95">
        <f t="shared" si="12"/>
        <v>1138.1790993388015</v>
      </c>
      <c r="R77" s="95">
        <f t="shared" si="13"/>
        <v>0</v>
      </c>
      <c r="S77" s="161">
        <f>ROUND(SUM(P77:R78),2)</f>
        <v>2094.59</v>
      </c>
      <c r="T77" s="161">
        <f>Arhive!E69</f>
        <v>15802.539999999994</v>
      </c>
      <c r="U77" s="161">
        <f>Arhive!F69</f>
        <v>15802.54</v>
      </c>
      <c r="V77" s="161">
        <f>SUM(S77:T78)-U77</f>
        <v>2094.5899999999929</v>
      </c>
      <c r="W77" s="6"/>
      <c r="X77" s="6"/>
    </row>
    <row r="78" spans="1:24" s="99" customFormat="1" ht="9.75" customHeight="1">
      <c r="A78" s="98"/>
      <c r="B78" s="165">
        <v>39</v>
      </c>
      <c r="C78" s="162"/>
      <c r="D78" s="160" t="str">
        <f>D77</f>
        <v>Трактин В.В.</v>
      </c>
      <c r="E78" s="93" t="s">
        <v>4</v>
      </c>
      <c r="F78" s="94">
        <f>Arhive!C70</f>
        <v>17317.23</v>
      </c>
      <c r="G78" s="95">
        <f>Arhive!D70</f>
        <v>17224.599999999999</v>
      </c>
      <c r="H78" s="95">
        <f t="shared" si="10"/>
        <v>92.630000000001019</v>
      </c>
      <c r="I78" s="96">
        <f>IF(H78=0,0,H78*100/(H78+H77))</f>
        <v>22.191078530017872</v>
      </c>
      <c r="J78" s="95">
        <f>IF((H77+H78)&gt;150,IF(H77=0,0,H78*100/(H77+H78)*150/100),H78)</f>
        <v>33.286617795026807</v>
      </c>
      <c r="K78" s="95">
        <f>IF(H78+H77&lt;600,H78-J78,450*(IF(H78=0,0,H78*100/(H78+H77)))/100)</f>
        <v>59.343382204974212</v>
      </c>
      <c r="L78" s="95">
        <f>H78-K78-J78</f>
        <v>0</v>
      </c>
      <c r="M78" s="54">
        <v>3.52</v>
      </c>
      <c r="N78" s="54">
        <v>4.21</v>
      </c>
      <c r="O78" s="54">
        <v>6.99</v>
      </c>
      <c r="P78" s="95">
        <f t="shared" si="11"/>
        <v>117.16889463849436</v>
      </c>
      <c r="Q78" s="95">
        <f t="shared" si="12"/>
        <v>249.83563908294144</v>
      </c>
      <c r="R78" s="95">
        <f t="shared" si="13"/>
        <v>0</v>
      </c>
      <c r="S78" s="161"/>
      <c r="T78" s="161"/>
      <c r="U78" s="161"/>
      <c r="V78" s="161"/>
      <c r="W78" s="6"/>
      <c r="X78" s="6"/>
    </row>
    <row r="79" spans="1:24" s="99" customFormat="1" ht="9.75" customHeight="1">
      <c r="A79" s="98"/>
      <c r="B79" s="165">
        <f>Arhive!A71</f>
        <v>39</v>
      </c>
      <c r="C79" s="162" t="str">
        <f>Arhive!G71</f>
        <v>53/б</v>
      </c>
      <c r="D79" s="160" t="str">
        <f>Arhive!B71</f>
        <v>Трактин Р.В.</v>
      </c>
      <c r="E79" s="93" t="s">
        <v>3</v>
      </c>
      <c r="F79" s="94">
        <f>Arhive!C71</f>
        <v>2507.12</v>
      </c>
      <c r="G79" s="95">
        <f>Arhive!D71</f>
        <v>2058.12</v>
      </c>
      <c r="H79" s="95">
        <f>F79-G79</f>
        <v>449</v>
      </c>
      <c r="I79" s="96">
        <f>IF(H79=0,0,H79*100/(H79+H80))</f>
        <v>56.764308019064714</v>
      </c>
      <c r="J79" s="95">
        <f>IF((H79+H80)&gt;150,IF(H79=0,0,H79*100/(H79+H80)*150/100),H79)</f>
        <v>85.146462028597071</v>
      </c>
      <c r="K79" s="95">
        <f>IF(H79+H80&lt;600,H79-J79,450*(IF(H79=0,0,H79*100/(H79+H80)))/100)</f>
        <v>255.43938608579123</v>
      </c>
      <c r="L79" s="95">
        <f>H79-J79-K79</f>
        <v>108.41415188561172</v>
      </c>
      <c r="M79" s="54">
        <v>5.05</v>
      </c>
      <c r="N79" s="54">
        <v>5.47</v>
      </c>
      <c r="O79" s="54">
        <v>9.4</v>
      </c>
      <c r="P79" s="95">
        <f>IF(H79&lt;J79,H79*M79,J79*M79)</f>
        <v>429.98963324441519</v>
      </c>
      <c r="Q79" s="95">
        <f>IF(K79&lt;0,0,K79*N79)</f>
        <v>1397.2534418892778</v>
      </c>
      <c r="R79" s="95">
        <f>IF(L79&lt;0,0,L79*O79)</f>
        <v>1019.0930277247502</v>
      </c>
      <c r="S79" s="161">
        <f>ROUND(SUM(P79:R80),2)</f>
        <v>4470.93</v>
      </c>
      <c r="T79" s="161">
        <f>Arhive!E71</f>
        <v>3236.9100000000008</v>
      </c>
      <c r="U79" s="161">
        <f>Arhive!F71</f>
        <v>3236.91</v>
      </c>
      <c r="V79" s="161">
        <f>SUM(S79:T80)-U79</f>
        <v>4470.9300000000012</v>
      </c>
      <c r="W79" s="6"/>
      <c r="X79" s="6"/>
    </row>
    <row r="80" spans="1:24" s="99" customFormat="1" ht="9.75" customHeight="1">
      <c r="A80" s="98"/>
      <c r="B80" s="165">
        <v>40</v>
      </c>
      <c r="C80" s="162"/>
      <c r="D80" s="160" t="str">
        <f>D79</f>
        <v>Трактин Р.В.</v>
      </c>
      <c r="E80" s="93" t="s">
        <v>4</v>
      </c>
      <c r="F80" s="94">
        <f>Arhive!C72</f>
        <v>1548.84</v>
      </c>
      <c r="G80" s="95">
        <f>Arhive!D72</f>
        <v>1206.8499999999999</v>
      </c>
      <c r="H80" s="95">
        <f>F80-G80</f>
        <v>341.99</v>
      </c>
      <c r="I80" s="96">
        <f>IF(H80=0,0,H80*100/(H80+H79))</f>
        <v>43.235691980935286</v>
      </c>
      <c r="J80" s="95">
        <f>IF((H79+H80)&gt;150,IF(H79=0,0,H80*100/(H79+H80)*150/100),H80)</f>
        <v>64.853537971402929</v>
      </c>
      <c r="K80" s="95">
        <f>IF(H80+H79&lt;600,H80-J80,450*(IF(H80=0,0,H80*100/(H80+H79)))/100)</f>
        <v>194.56061391420877</v>
      </c>
      <c r="L80" s="95">
        <f>H80-K80-J80</f>
        <v>82.575848114388307</v>
      </c>
      <c r="M80" s="54">
        <v>3.52</v>
      </c>
      <c r="N80" s="54">
        <v>4.21</v>
      </c>
      <c r="O80" s="54">
        <v>6.99</v>
      </c>
      <c r="P80" s="95">
        <f>IF(H80&lt;J80,H80*M80,J80*M80)</f>
        <v>228.28445365933831</v>
      </c>
      <c r="Q80" s="95">
        <f>IF(K80&lt;0,0,K80*N80)</f>
        <v>819.10018457881893</v>
      </c>
      <c r="R80" s="95">
        <f>IF(L80&lt;0,0,L80*O80)</f>
        <v>577.20517831957432</v>
      </c>
      <c r="S80" s="161"/>
      <c r="T80" s="161"/>
      <c r="U80" s="161"/>
      <c r="V80" s="161"/>
      <c r="W80" s="6"/>
      <c r="X80" s="6"/>
    </row>
    <row r="81" spans="1:24" s="97" customFormat="1" ht="9.75" customHeight="1">
      <c r="A81" s="89"/>
      <c r="B81" s="90">
        <f>Arhive!A73</f>
        <v>40</v>
      </c>
      <c r="C81" s="91">
        <f>Arhive!G73</f>
        <v>57</v>
      </c>
      <c r="D81" s="92" t="str">
        <f>Arhive!B73</f>
        <v>Тульянова Н.В.</v>
      </c>
      <c r="E81" s="93" t="s">
        <v>27</v>
      </c>
      <c r="F81" s="94">
        <f>Arhive!C73</f>
        <v>967.9</v>
      </c>
      <c r="G81" s="95">
        <f>Arhive!D73</f>
        <v>963.9</v>
      </c>
      <c r="H81" s="95">
        <f>F81-G81</f>
        <v>4</v>
      </c>
      <c r="I81" s="96">
        <f>IF(H81=0,0,H81*100/H81)</f>
        <v>100</v>
      </c>
      <c r="J81" s="95">
        <f>IF(H81&gt;150,IF(H81=0,0,H81*100/H81*150/100),H81)</f>
        <v>4</v>
      </c>
      <c r="K81" s="95">
        <f>IF(H81&lt;600,H81-J81,450*(IF(H81=0,0,H81*100/H81))/100)</f>
        <v>0</v>
      </c>
      <c r="L81" s="95">
        <f>H81-J81-K81</f>
        <v>0</v>
      </c>
      <c r="M81" s="54">
        <v>5.05</v>
      </c>
      <c r="N81" s="54">
        <v>5.47</v>
      </c>
      <c r="O81" s="54">
        <v>9.4</v>
      </c>
      <c r="P81" s="95">
        <f>IF(H81&lt;J81,H81*M81,J81*M81)</f>
        <v>20.2</v>
      </c>
      <c r="Q81" s="95">
        <f t="shared" ref="Q81:R83" si="14">IF(K81&lt;0,0,K81*N81)</f>
        <v>0</v>
      </c>
      <c r="R81" s="95">
        <f t="shared" si="14"/>
        <v>0</v>
      </c>
      <c r="S81" s="95">
        <f>ROUND(SUM(P81:R81),2)</f>
        <v>20.2</v>
      </c>
      <c r="T81" s="95">
        <f>Arhive!E73</f>
        <v>9.3300000000000267</v>
      </c>
      <c r="U81" s="95">
        <f>Arhive!F73</f>
        <v>9.33</v>
      </c>
      <c r="V81" s="95">
        <f>SUM(S81:T81)-U81</f>
        <v>20.200000000000024</v>
      </c>
      <c r="W81" s="6"/>
      <c r="X81" s="6"/>
    </row>
    <row r="82" spans="1:24" s="99" customFormat="1" ht="9.75" customHeight="1">
      <c r="A82" s="98"/>
      <c r="B82" s="165">
        <f>Arhive!A74</f>
        <v>41</v>
      </c>
      <c r="C82" s="162">
        <f>Arhive!G74</f>
        <v>28</v>
      </c>
      <c r="D82" s="160" t="str">
        <f>Arhive!B74</f>
        <v>Чеченко Е.Н.</v>
      </c>
      <c r="E82" s="93" t="s">
        <v>3</v>
      </c>
      <c r="F82" s="94">
        <f>Arhive!C74</f>
        <v>34337.47</v>
      </c>
      <c r="G82" s="95">
        <f>Arhive!D74</f>
        <v>34008.959999999999</v>
      </c>
      <c r="H82" s="95">
        <f>F82-G82</f>
        <v>328.51000000000204</v>
      </c>
      <c r="I82" s="96">
        <f>IF(H82=0,0,H82*100/(H82+H83))</f>
        <v>74.783737024221807</v>
      </c>
      <c r="J82" s="95">
        <f>IF((H82+H83)&gt;150,IF(H82=0,0,H82*100/(H82+H83)*150/100),H82)</f>
        <v>112.17560553633271</v>
      </c>
      <c r="K82" s="95">
        <f>IF(H82+H83&lt;600,H82-J82,450*(IF(H82=0,0,H82*100/(H82+H83)))/100)</f>
        <v>216.33439446366933</v>
      </c>
      <c r="L82" s="95">
        <f>H82-J82-K82</f>
        <v>0</v>
      </c>
      <c r="M82" s="54">
        <v>5.05</v>
      </c>
      <c r="N82" s="54">
        <v>5.47</v>
      </c>
      <c r="O82" s="54">
        <v>9.4</v>
      </c>
      <c r="P82" s="95">
        <f>IF(H82&lt;J82,H82*M82,J82*M82)</f>
        <v>566.4868079584802</v>
      </c>
      <c r="Q82" s="95">
        <f t="shared" si="14"/>
        <v>1183.3491377162711</v>
      </c>
      <c r="R82" s="95">
        <f t="shared" si="14"/>
        <v>0</v>
      </c>
      <c r="S82" s="161">
        <f>ROUND(SUM(P82:R83),2)</f>
        <v>2190.08</v>
      </c>
      <c r="T82" s="143">
        <f>Arhive!E74</f>
        <v>-2420.1599999999958</v>
      </c>
      <c r="U82" s="161">
        <f>Arhive!F74</f>
        <v>4000</v>
      </c>
      <c r="V82" s="161">
        <f>SUM(S82:T83)-U82</f>
        <v>-4230.0799999999963</v>
      </c>
      <c r="W82" s="6"/>
      <c r="X82" s="6"/>
    </row>
    <row r="83" spans="1:24" s="99" customFormat="1" ht="9.75" customHeight="1">
      <c r="A83" s="98"/>
      <c r="B83" s="165">
        <v>39</v>
      </c>
      <c r="C83" s="162"/>
      <c r="D83" s="160" t="str">
        <f>D82</f>
        <v>Чеченко Е.Н.</v>
      </c>
      <c r="E83" s="93" t="s">
        <v>4</v>
      </c>
      <c r="F83" s="94">
        <f>Arhive!C75</f>
        <v>14706.47</v>
      </c>
      <c r="G83" s="95">
        <f>Arhive!D75</f>
        <v>14595.7</v>
      </c>
      <c r="H83" s="95">
        <f>F83-G83</f>
        <v>110.76999999999862</v>
      </c>
      <c r="I83" s="96">
        <f>IF(H83=0,0,H83*100/(H83+H82))</f>
        <v>25.216262975778193</v>
      </c>
      <c r="J83" s="95">
        <f>IF((H82+H83)&gt;150,IF(H82=0,0,H83*100/(H82+H83)*150/100),H83)</f>
        <v>37.824394463667289</v>
      </c>
      <c r="K83" s="95">
        <f>IF(H83+H82&lt;600,H83-J83,450*(IF(H83=0,0,H83*100/(H83+H82)))/100)</f>
        <v>72.945605536331328</v>
      </c>
      <c r="L83" s="95">
        <f>H83-K83-J83</f>
        <v>0</v>
      </c>
      <c r="M83" s="54">
        <v>3.52</v>
      </c>
      <c r="N83" s="54">
        <v>4.21</v>
      </c>
      <c r="O83" s="54">
        <v>6.99</v>
      </c>
      <c r="P83" s="95">
        <f>IF(H83&lt;J83,H83*M83,J83*M83)</f>
        <v>133.14186851210886</v>
      </c>
      <c r="Q83" s="95">
        <f t="shared" si="14"/>
        <v>307.10099930795491</v>
      </c>
      <c r="R83" s="95">
        <f t="shared" si="14"/>
        <v>0</v>
      </c>
      <c r="S83" s="161"/>
      <c r="T83" s="143"/>
      <c r="U83" s="161"/>
      <c r="V83" s="161"/>
      <c r="W83" s="6"/>
      <c r="X83" s="6"/>
    </row>
    <row r="84" spans="1:24" s="99" customFormat="1" ht="9.75" customHeight="1">
      <c r="A84" s="98"/>
      <c r="B84" s="165">
        <f>Arhive!A76</f>
        <v>42</v>
      </c>
      <c r="C84" s="147">
        <f>Arhive!G76</f>
        <v>16</v>
      </c>
      <c r="D84" s="148" t="str">
        <f>Arhive!B76</f>
        <v>Чихранов А.Д.</v>
      </c>
      <c r="E84" s="93" t="s">
        <v>3</v>
      </c>
      <c r="F84" s="94">
        <f>Arhive!C76</f>
        <v>22830.39</v>
      </c>
      <c r="G84" s="95">
        <f>Arhive!D76</f>
        <v>22688.75</v>
      </c>
      <c r="H84" s="95">
        <f t="shared" si="10"/>
        <v>141.63999999999942</v>
      </c>
      <c r="I84" s="96">
        <f>IF(H84=0,0,H84*100/(H84+H85))</f>
        <v>73.464730290456401</v>
      </c>
      <c r="J84" s="95">
        <f>IF((H84+H85)&gt;150,IF(H84=0,0,H84*100/(H84+H85)*150/100),H84)</f>
        <v>110.1970954356846</v>
      </c>
      <c r="K84" s="95">
        <f>IF(H84+H85&lt;600,H84-J84,450*(IF(H84=0,0,H84*100/(H84+H85)))/100)</f>
        <v>31.442904564314816</v>
      </c>
      <c r="L84" s="95">
        <f>H84-J84-K84</f>
        <v>0</v>
      </c>
      <c r="M84" s="54">
        <v>5.05</v>
      </c>
      <c r="N84" s="54">
        <v>5.47</v>
      </c>
      <c r="O84" s="54">
        <v>9.4</v>
      </c>
      <c r="P84" s="95">
        <f t="shared" si="11"/>
        <v>556.49533195020717</v>
      </c>
      <c r="Q84" s="95">
        <f t="shared" si="12"/>
        <v>171.99268796680204</v>
      </c>
      <c r="R84" s="95">
        <f t="shared" si="13"/>
        <v>0</v>
      </c>
      <c r="S84" s="143">
        <f>ROUND(SUM(P84:R85),2)</f>
        <v>916.41</v>
      </c>
      <c r="T84" s="143">
        <f>Arhive!E76</f>
        <v>2148.75</v>
      </c>
      <c r="U84" s="143">
        <f>Arhive!F76</f>
        <v>2200</v>
      </c>
      <c r="V84" s="161">
        <f>SUM(S84:T85)-U84</f>
        <v>865.15999999999985</v>
      </c>
      <c r="W84" s="6"/>
      <c r="X84" s="6"/>
    </row>
    <row r="85" spans="1:24" ht="9.75" customHeight="1">
      <c r="A85" s="2"/>
      <c r="B85" s="165">
        <v>40</v>
      </c>
      <c r="C85" s="147"/>
      <c r="D85" s="148" t="str">
        <f>D84</f>
        <v>Чихранов А.Д.</v>
      </c>
      <c r="E85" s="12" t="s">
        <v>4</v>
      </c>
      <c r="F85" s="55">
        <f>Arhive!C77</f>
        <v>5710.99</v>
      </c>
      <c r="G85" s="54">
        <f>Arhive!D77</f>
        <v>5659.83</v>
      </c>
      <c r="H85" s="54">
        <f t="shared" si="10"/>
        <v>51.159999999999854</v>
      </c>
      <c r="I85" s="56">
        <f>IF(H85=0,0,H85*100/(H85+H84))</f>
        <v>26.535269709543591</v>
      </c>
      <c r="J85" s="54">
        <f>IF((H84+H85)&gt;150,IF(H84=0,0,H85*100/(H84+H85)*150/100),H85)</f>
        <v>39.802904564315384</v>
      </c>
      <c r="K85" s="54">
        <f>IF(H85+H84&lt;600,H85-J85,450*(IF(H85=0,0,H85*100/(H85+H84)))/100)</f>
        <v>11.357095435684471</v>
      </c>
      <c r="L85" s="54">
        <f>H85-K85-J85</f>
        <v>0</v>
      </c>
      <c r="M85" s="54">
        <v>3.52</v>
      </c>
      <c r="N85" s="54">
        <v>4.21</v>
      </c>
      <c r="O85" s="54">
        <v>6.99</v>
      </c>
      <c r="P85" s="54">
        <f t="shared" si="11"/>
        <v>140.10622406639015</v>
      </c>
      <c r="Q85" s="54">
        <f t="shared" si="12"/>
        <v>47.81337178423162</v>
      </c>
      <c r="R85" s="54">
        <f t="shared" si="13"/>
        <v>0</v>
      </c>
      <c r="S85" s="143"/>
      <c r="T85" s="143"/>
      <c r="U85" s="143"/>
      <c r="V85" s="161"/>
      <c r="W85" s="6"/>
      <c r="X85" s="6"/>
    </row>
    <row r="86" spans="1:24" ht="9.75" customHeight="1">
      <c r="A86" s="2"/>
      <c r="B86" s="165">
        <f>Arhive!A78</f>
        <v>43</v>
      </c>
      <c r="C86" s="147">
        <f>Arhive!G78</f>
        <v>45</v>
      </c>
      <c r="D86" s="148" t="str">
        <f>Arhive!B78</f>
        <v>Шавриева А.В.</v>
      </c>
      <c r="E86" s="12" t="s">
        <v>3</v>
      </c>
      <c r="F86" s="55">
        <f>Arhive!C78</f>
        <v>26618.7</v>
      </c>
      <c r="G86" s="54">
        <f>Arhive!D78</f>
        <v>26395.02</v>
      </c>
      <c r="H86" s="54">
        <f t="shared" si="10"/>
        <v>223.68000000000029</v>
      </c>
      <c r="I86" s="56">
        <f>IF(H86=0,0,H86*100/(H86+H87))</f>
        <v>66.577372979730185</v>
      </c>
      <c r="J86" s="54">
        <f>IF((H86+H87)&gt;150,IF(H86=0,0,H86*100/(H86+H87)*150/100),H86)</f>
        <v>99.866059469595271</v>
      </c>
      <c r="K86" s="54">
        <f>IF(H86+H87&lt;600,H86-J86,450*(IF(H86=0,0,H86*100/(H86+H87)))/100)</f>
        <v>123.81394053040502</v>
      </c>
      <c r="L86" s="54">
        <f>H86-J86-K86</f>
        <v>0</v>
      </c>
      <c r="M86" s="54">
        <v>5.05</v>
      </c>
      <c r="N86" s="54">
        <v>5.47</v>
      </c>
      <c r="O86" s="54">
        <v>9.4</v>
      </c>
      <c r="P86" s="54">
        <f t="shared" si="11"/>
        <v>504.32360032145613</v>
      </c>
      <c r="Q86" s="54">
        <f t="shared" si="12"/>
        <v>677.26225470131544</v>
      </c>
      <c r="R86" s="54">
        <f t="shared" si="13"/>
        <v>0</v>
      </c>
      <c r="S86" s="143">
        <f>ROUND(SUM(P86:R87),2)</f>
        <v>1619.73</v>
      </c>
      <c r="T86" s="143">
        <f>Arhive!E78</f>
        <v>2226.6600000000003</v>
      </c>
      <c r="U86" s="143">
        <f>Arhive!F78</f>
        <v>2226.66</v>
      </c>
      <c r="V86" s="161">
        <f>SUM(S86:T87)-U86</f>
        <v>1619.7300000000005</v>
      </c>
      <c r="W86" s="6"/>
      <c r="X86" s="6"/>
    </row>
    <row r="87" spans="1:24" ht="9.75" customHeight="1">
      <c r="A87" s="2"/>
      <c r="B87" s="165">
        <v>41</v>
      </c>
      <c r="C87" s="147"/>
      <c r="D87" s="148" t="str">
        <f>D86</f>
        <v>Шавриева А.В.</v>
      </c>
      <c r="E87" s="12" t="s">
        <v>4</v>
      </c>
      <c r="F87" s="55">
        <f>Arhive!C79</f>
        <v>10798.37</v>
      </c>
      <c r="G87" s="54">
        <f>Arhive!D79</f>
        <v>10686.08</v>
      </c>
      <c r="H87" s="54">
        <f t="shared" si="10"/>
        <v>112.29000000000087</v>
      </c>
      <c r="I87" s="56">
        <f>IF(H87=0,0,H87*100/(H87+H86))</f>
        <v>33.422627020269807</v>
      </c>
      <c r="J87" s="54">
        <f>IF((H86+H87)&gt;150,IF(H86=0,0,H87*100/(H86+H87)*150/100),H87)</f>
        <v>50.133940530404708</v>
      </c>
      <c r="K87" s="54">
        <f>IF(H87+H86&lt;600,H87-J87,450*(IF(H87=0,0,H87*100/(H87+H86)))/100)</f>
        <v>62.156059469596165</v>
      </c>
      <c r="L87" s="54">
        <f>H87-K87-J87</f>
        <v>0</v>
      </c>
      <c r="M87" s="54">
        <v>3.52</v>
      </c>
      <c r="N87" s="54">
        <v>4.21</v>
      </c>
      <c r="O87" s="54">
        <v>6.99</v>
      </c>
      <c r="P87" s="54">
        <f t="shared" si="11"/>
        <v>176.47147066702456</v>
      </c>
      <c r="Q87" s="54">
        <f t="shared" si="12"/>
        <v>261.67701036699987</v>
      </c>
      <c r="R87" s="54">
        <f t="shared" si="13"/>
        <v>0</v>
      </c>
      <c r="S87" s="143"/>
      <c r="T87" s="143"/>
      <c r="U87" s="143"/>
      <c r="V87" s="161"/>
      <c r="W87" s="6"/>
      <c r="X87" s="6"/>
    </row>
    <row r="88" spans="1:24" ht="9.75" customHeight="1">
      <c r="A88" s="2"/>
      <c r="B88" s="165">
        <f>Arhive!A80</f>
        <v>44</v>
      </c>
      <c r="C88" s="147">
        <f>Arhive!G80</f>
        <v>14</v>
      </c>
      <c r="D88" s="148" t="str">
        <f>Arhive!B80</f>
        <v>Шепелин В.С.</v>
      </c>
      <c r="E88" s="12" t="s">
        <v>3</v>
      </c>
      <c r="F88" s="55">
        <f>Arhive!C80</f>
        <v>1036.0999999999999</v>
      </c>
      <c r="G88" s="54">
        <f>Arhive!D80</f>
        <v>871.04</v>
      </c>
      <c r="H88" s="54">
        <f t="shared" si="10"/>
        <v>165.05999999999995</v>
      </c>
      <c r="I88" s="56">
        <f>IF(H88=0,0,H88*100/(H88+H89))</f>
        <v>72.755322431348333</v>
      </c>
      <c r="J88" s="54">
        <f>IF((H88+H89)&gt;150,IF(H88=0,0,H88*100/(H88+H89)*150/100),H88)</f>
        <v>109.1329836470225</v>
      </c>
      <c r="K88" s="54">
        <f>IF(H88+H89&lt;600,H88-J88,450*(IF(H88=0,0,H88*100/(H88+H89)))/100)</f>
        <v>55.927016352977446</v>
      </c>
      <c r="L88" s="54">
        <f>H88-J88-K88</f>
        <v>0</v>
      </c>
      <c r="M88" s="54">
        <v>5.05</v>
      </c>
      <c r="N88" s="54">
        <v>5.47</v>
      </c>
      <c r="O88" s="54">
        <v>9.4</v>
      </c>
      <c r="P88" s="54">
        <f t="shared" si="11"/>
        <v>551.12156741746355</v>
      </c>
      <c r="Q88" s="54">
        <f t="shared" si="12"/>
        <v>305.9207794507866</v>
      </c>
      <c r="R88" s="54">
        <f t="shared" si="13"/>
        <v>0</v>
      </c>
      <c r="S88" s="143">
        <f>ROUND(SUM(P88:R89),2)</f>
        <v>1089.06</v>
      </c>
      <c r="T88" s="143">
        <f>Arhive!E80</f>
        <v>1035.9599999999994</v>
      </c>
      <c r="U88" s="143">
        <f>Arhive!F80</f>
        <v>1035.96</v>
      </c>
      <c r="V88" s="143">
        <f>SUM(S88:T89)-U88</f>
        <v>1089.0599999999995</v>
      </c>
      <c r="W88" s="6"/>
      <c r="X88" s="6"/>
    </row>
    <row r="89" spans="1:24" ht="9.75" customHeight="1">
      <c r="A89" s="2"/>
      <c r="B89" s="165">
        <v>42</v>
      </c>
      <c r="C89" s="147"/>
      <c r="D89" s="148" t="str">
        <f>D88</f>
        <v>Шепелин В.С.</v>
      </c>
      <c r="E89" s="12" t="s">
        <v>4</v>
      </c>
      <c r="F89" s="55">
        <f>Arhive!C81</f>
        <v>367.99</v>
      </c>
      <c r="G89" s="54">
        <f>Arhive!D81</f>
        <v>306.18</v>
      </c>
      <c r="H89" s="54">
        <f t="shared" si="10"/>
        <v>61.81</v>
      </c>
      <c r="I89" s="56">
        <f>IF(H89=0,0,H89*100/(H89+H88))</f>
        <v>27.244677568651657</v>
      </c>
      <c r="J89" s="54">
        <f>IF((H88+H89)&gt;150,IF(H88=0,0,H89*100/(H88+H89)*150/100),H89)</f>
        <v>40.867016352977487</v>
      </c>
      <c r="K89" s="54">
        <f>IF(H89+H88&lt;600,H89-J89,450*(IF(H89=0,0,H89*100/(H89+H88)))/100)</f>
        <v>20.942983647022515</v>
      </c>
      <c r="L89" s="54">
        <f>H89-K89-J89</f>
        <v>0</v>
      </c>
      <c r="M89" s="54">
        <v>3.52</v>
      </c>
      <c r="N89" s="54">
        <v>4.21</v>
      </c>
      <c r="O89" s="54">
        <v>6.99</v>
      </c>
      <c r="P89" s="54">
        <f t="shared" si="11"/>
        <v>143.85189756248076</v>
      </c>
      <c r="Q89" s="54">
        <f t="shared" si="12"/>
        <v>88.169961153964792</v>
      </c>
      <c r="R89" s="54">
        <f t="shared" si="13"/>
        <v>0</v>
      </c>
      <c r="S89" s="143"/>
      <c r="T89" s="143"/>
      <c r="U89" s="143"/>
      <c r="V89" s="143"/>
      <c r="W89" s="6"/>
      <c r="X89" s="6"/>
    </row>
    <row r="90" spans="1:24" ht="9.75" customHeight="1">
      <c r="A90" s="2"/>
      <c r="B90" s="165">
        <f>Arhive!A82</f>
        <v>45</v>
      </c>
      <c r="C90" s="147">
        <f>Arhive!G82</f>
        <v>59</v>
      </c>
      <c r="D90" s="148" t="str">
        <f>Arhive!B82</f>
        <v>Штетальный В.Г.</v>
      </c>
      <c r="E90" s="12" t="s">
        <v>3</v>
      </c>
      <c r="F90" s="55">
        <f>Arhive!C82</f>
        <v>7017.43</v>
      </c>
      <c r="G90" s="54">
        <f>Arhive!D82</f>
        <v>6600.33</v>
      </c>
      <c r="H90" s="54">
        <f>F90-G90</f>
        <v>417.10000000000036</v>
      </c>
      <c r="I90" s="56">
        <f>IF(H90=0,0,H90*100/(H90+H91))</f>
        <v>75.926094475288991</v>
      </c>
      <c r="J90" s="54">
        <f>IF((H90+H91)&gt;150,IF(H90=0,0,H90*100/(H90+H91)*150/100),H90)</f>
        <v>113.88914171293349</v>
      </c>
      <c r="K90" s="54">
        <f>IF(H90+H91&lt;600,H90-J90,450*(IF(H90=0,0,H90*100/(H90+H91)))/100)</f>
        <v>303.21085828706686</v>
      </c>
      <c r="L90" s="54">
        <f>H90-J90-K90</f>
        <v>0</v>
      </c>
      <c r="M90" s="54">
        <v>5.05</v>
      </c>
      <c r="N90" s="54">
        <v>5.47</v>
      </c>
      <c r="O90" s="54">
        <v>9.4</v>
      </c>
      <c r="P90" s="54">
        <f>IF(H90&lt;J90,H90*M90,J90*M90)</f>
        <v>575.14016565031409</v>
      </c>
      <c r="Q90" s="54">
        <f>IF(K90&lt;0,0,K90*N90)</f>
        <v>1658.5633948302557</v>
      </c>
      <c r="R90" s="54">
        <f>IF(L90&lt;0,0,L90*O90)</f>
        <v>0</v>
      </c>
      <c r="S90" s="143">
        <f>ROUND(SUM(P90:R91),2)</f>
        <v>2765.56</v>
      </c>
      <c r="T90" s="143">
        <f>Arhive!E82</f>
        <v>2553.3799999999992</v>
      </c>
      <c r="U90" s="143">
        <f>Arhive!F82</f>
        <v>2555</v>
      </c>
      <c r="V90" s="143">
        <f>SUM(S90:T91)-U90</f>
        <v>2763.9399999999987</v>
      </c>
      <c r="W90" s="6"/>
      <c r="X90" s="6"/>
    </row>
    <row r="91" spans="1:24" ht="9.75" customHeight="1">
      <c r="A91" s="2"/>
      <c r="B91" s="165">
        <v>43</v>
      </c>
      <c r="C91" s="147"/>
      <c r="D91" s="148" t="str">
        <f>D90</f>
        <v>Штетальный В.Г.</v>
      </c>
      <c r="E91" s="12" t="s">
        <v>4</v>
      </c>
      <c r="F91" s="55">
        <f>Arhive!C83</f>
        <v>2751.21</v>
      </c>
      <c r="G91" s="54">
        <f>Arhive!D83</f>
        <v>2618.96</v>
      </c>
      <c r="H91" s="54">
        <f>F91-G91</f>
        <v>132.25</v>
      </c>
      <c r="I91" s="56">
        <f>IF(H91=0,0,H91*100/(H91+H90))</f>
        <v>24.073905524711005</v>
      </c>
      <c r="J91" s="54">
        <f>IF((H90+H91)&gt;150,IF(H90=0,0,H91*100/(H90+H91)*150/100),H91)</f>
        <v>36.110858287066506</v>
      </c>
      <c r="K91" s="54">
        <f>IF(H91+H90&lt;600,H91-J91,450*(IF(H91=0,0,H91*100/(H91+H90)))/100)</f>
        <v>96.139141712933494</v>
      </c>
      <c r="L91" s="54">
        <f>H91-K91-J91</f>
        <v>0</v>
      </c>
      <c r="M91" s="54">
        <v>3.52</v>
      </c>
      <c r="N91" s="54">
        <v>4.21</v>
      </c>
      <c r="O91" s="54">
        <v>6.99</v>
      </c>
      <c r="P91" s="54">
        <f>IF(H91&lt;J91,H91*M91,J91*M91)</f>
        <v>127.11022117047411</v>
      </c>
      <c r="Q91" s="54">
        <f>IF(K91&lt;0,0,K91*N91)</f>
        <v>404.74578661145</v>
      </c>
      <c r="R91" s="54">
        <f>IF(L91&lt;0,0,L91*O91)</f>
        <v>0</v>
      </c>
      <c r="S91" s="143"/>
      <c r="T91" s="143"/>
      <c r="U91" s="143"/>
      <c r="V91" s="143"/>
      <c r="W91" s="6"/>
      <c r="X91" s="6"/>
    </row>
    <row r="92" spans="1:24" ht="12">
      <c r="A92" s="2"/>
      <c r="B92" s="47"/>
      <c r="C92" s="38"/>
      <c r="D92" s="45" t="s">
        <v>95</v>
      </c>
      <c r="E92" s="39"/>
      <c r="F92" s="57"/>
      <c r="G92" s="58"/>
      <c r="H92" s="58"/>
      <c r="I92" s="59"/>
      <c r="J92" s="58"/>
      <c r="K92" s="58"/>
      <c r="L92" s="58"/>
      <c r="M92" s="58"/>
      <c r="N92" s="58"/>
      <c r="O92" s="58"/>
      <c r="P92" s="58"/>
      <c r="Q92" s="58"/>
      <c r="R92" s="58"/>
      <c r="S92" s="58">
        <f>ROUND(SUM(S10:S91),2)</f>
        <v>76281.69</v>
      </c>
      <c r="T92" s="60"/>
      <c r="U92" s="60"/>
      <c r="V92" s="60"/>
      <c r="W92" s="105"/>
    </row>
    <row r="93" spans="1:24" ht="12">
      <c r="A93" s="105"/>
      <c r="B93" s="47"/>
      <c r="C93" s="38"/>
      <c r="D93" s="45" t="s">
        <v>101</v>
      </c>
      <c r="E93" s="39"/>
      <c r="F93" s="57"/>
      <c r="G93" s="58"/>
      <c r="H93" s="58"/>
      <c r="I93" s="59"/>
      <c r="J93" s="58"/>
      <c r="K93" s="58"/>
      <c r="L93" s="58"/>
      <c r="M93" s="58"/>
      <c r="N93" s="58"/>
      <c r="O93" s="58"/>
      <c r="P93" s="58"/>
      <c r="Q93" s="58"/>
      <c r="R93" s="58"/>
      <c r="S93" s="58">
        <f>ROUND(SUM(S10:S91)-S39-S12-S14-S31,2)</f>
        <v>65615.55</v>
      </c>
      <c r="T93" s="60"/>
      <c r="U93" s="60"/>
      <c r="V93" s="60"/>
      <c r="W93" s="105"/>
    </row>
    <row r="94" spans="1:24" ht="87.75" customHeight="1">
      <c r="A94" s="7"/>
      <c r="B94" s="142" t="str">
        <f>Arhive!B87</f>
        <v>По решению общего собрания потери в электросети ТСН по итогам года рассчитываются равным образом между потребителями. 
Согласно приложению к приказу №185-УТ от 09.12.2024 г. Управления по тарифам города Севастополя на электроэнергию для населения и приравненных к нему категорий потребителей СНТ в г. Севастополе:
- в одноставочном тарифе в I-полугодие/II-полугодие, объем, потребляемый до 150 кВт*ч составляет 4,49/5,05 руб./кВт*ч; объем, потребляемый от 151 кВт*ч до 600 кВт*ч – 4,82/5,47 руб./кВт*ч; объем более 600 кВт*ч – 8,28/9,4 руб./кВт*ч;
- в дифференцированном по двум зонам суток, дневной тариф на электрическую энергию, в I-полугодие/II-полугодие составляет: объем, 
потребляемый до 150 кВт*ч – 4,49/5,05 руб./кВт*ч; объем от 151 кВт*ч до 600 кВт*ч – 4,82/5,47 руб./кВт*ч; объем более 600 кВт*ч – 8,28/9,4 руб./кВт*ч.
- в дифференцированном по двум зонам суток, ночной тариф на электрическую энергию, в I-полугодие/II-полугодие составляет: объем, 
потребляемый до 150 кВт*ч – 3,13/3,52 руб./кВт*ч; объем от 151 кВт*ч до 600 кВт*ч– 3,74/4,21 руб./кВт*ч; объем более 600 кВт*ч – 6,21/6,99 руб./кВт*ч.</v>
      </c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60"/>
    </row>
    <row r="95" spans="1:24" ht="12.75" customHeight="1">
      <c r="A95" s="13"/>
      <c r="B95" s="131"/>
      <c r="C95" s="35"/>
      <c r="D95" s="18"/>
      <c r="E95" s="18"/>
      <c r="F95" s="61"/>
      <c r="G95" s="61"/>
      <c r="H95" s="61"/>
      <c r="I95" s="62"/>
      <c r="J95" s="61"/>
      <c r="K95" s="61"/>
      <c r="L95" s="61"/>
      <c r="M95" s="61"/>
      <c r="N95" s="61"/>
      <c r="O95" s="61"/>
      <c r="P95" s="61"/>
      <c r="Q95" s="61"/>
      <c r="R95" s="19"/>
      <c r="S95" s="19"/>
      <c r="T95" s="19"/>
      <c r="U95" s="19"/>
      <c r="V95" s="19"/>
      <c r="W95" s="14"/>
    </row>
    <row r="96" spans="1:24" ht="12.75" customHeight="1">
      <c r="C96" s="36"/>
      <c r="D96" s="11"/>
      <c r="E96" s="11"/>
      <c r="F96" s="63"/>
      <c r="G96" s="63"/>
      <c r="H96" s="63"/>
      <c r="I96" s="64"/>
      <c r="J96" s="63"/>
      <c r="K96" s="63"/>
      <c r="L96" s="63"/>
      <c r="M96" s="63"/>
      <c r="N96" s="63"/>
      <c r="O96" s="63"/>
      <c r="P96" s="63"/>
      <c r="Q96" s="63"/>
    </row>
    <row r="97" spans="3:20" ht="12.75" customHeight="1">
      <c r="C97" s="36"/>
      <c r="D97" s="11"/>
      <c r="E97" s="11"/>
      <c r="F97" s="63"/>
      <c r="G97" s="63"/>
      <c r="H97" s="63"/>
      <c r="I97" s="64"/>
      <c r="J97" s="63"/>
      <c r="K97" s="63"/>
      <c r="L97" s="63"/>
      <c r="M97" s="63"/>
      <c r="N97" s="63"/>
      <c r="O97" s="63"/>
      <c r="P97" s="63"/>
      <c r="Q97" s="63"/>
    </row>
    <row r="98" spans="3:20" ht="12.75" customHeight="1">
      <c r="C98" s="36"/>
      <c r="D98" s="11"/>
      <c r="E98" s="11"/>
      <c r="F98" s="63"/>
      <c r="G98" s="63"/>
      <c r="H98" s="63"/>
      <c r="I98" s="64"/>
      <c r="J98" s="63"/>
      <c r="K98" s="63"/>
      <c r="L98" s="63"/>
      <c r="M98" s="63"/>
      <c r="N98" s="63"/>
      <c r="O98" s="63"/>
      <c r="P98" s="63"/>
      <c r="Q98" s="63"/>
    </row>
    <row r="99" spans="3:20" ht="12.75" customHeight="1">
      <c r="C99" s="36"/>
      <c r="D99" s="11"/>
      <c r="E99" s="11"/>
      <c r="F99" s="63"/>
      <c r="G99" s="63"/>
      <c r="H99" s="63"/>
      <c r="I99" s="64"/>
      <c r="J99" s="63"/>
      <c r="K99" s="63"/>
      <c r="L99" s="63"/>
      <c r="M99" s="63"/>
      <c r="N99" s="63"/>
      <c r="O99" s="63"/>
      <c r="P99" s="63"/>
      <c r="Q99" s="63"/>
    </row>
    <row r="100" spans="3:20" ht="12.75" customHeight="1">
      <c r="C100" s="36"/>
      <c r="D100" s="11"/>
      <c r="E100" s="11"/>
      <c r="F100" s="63"/>
      <c r="G100" s="63"/>
      <c r="H100" s="63"/>
      <c r="I100" s="64"/>
      <c r="J100" s="63"/>
      <c r="K100" s="63"/>
      <c r="L100" s="63"/>
      <c r="M100" s="63"/>
      <c r="N100" s="63"/>
      <c r="O100" s="63"/>
      <c r="P100" s="63"/>
      <c r="Q100" s="63"/>
    </row>
    <row r="101" spans="3:20" ht="12.75" customHeight="1">
      <c r="C101" s="36"/>
      <c r="D101" s="11"/>
      <c r="E101" s="11"/>
      <c r="F101" s="63"/>
      <c r="G101" s="63"/>
      <c r="H101" s="63"/>
      <c r="I101" s="64"/>
      <c r="J101" s="63"/>
      <c r="K101" s="63"/>
      <c r="L101" s="63"/>
      <c r="M101" s="63"/>
      <c r="N101" s="63"/>
      <c r="O101" s="63"/>
      <c r="P101" s="63"/>
      <c r="Q101" s="63"/>
    </row>
    <row r="102" spans="3:20" ht="12.75" customHeight="1">
      <c r="C102" s="36"/>
      <c r="D102" s="11"/>
      <c r="E102" s="11"/>
      <c r="F102" s="63"/>
      <c r="G102" s="63"/>
      <c r="H102" s="63"/>
      <c r="I102" s="64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</row>
    <row r="103" spans="3:20" ht="30" customHeight="1"/>
    <row r="104" spans="3:20" ht="41.25" customHeight="1"/>
    <row r="105" spans="3:20" ht="12.75" customHeight="1"/>
    <row r="106" spans="3:20" ht="12.75" customHeight="1"/>
    <row r="107" spans="3:20" ht="12.75" customHeight="1"/>
    <row r="108" spans="3:20" ht="9.75" customHeight="1">
      <c r="R108" s="63"/>
      <c r="S108" s="63"/>
      <c r="T108" s="63"/>
    </row>
    <row r="109" spans="3:20" ht="9.75" customHeight="1"/>
    <row r="110" spans="3:20" ht="9.75" customHeight="1"/>
    <row r="114" spans="18:20">
      <c r="R114" s="63"/>
      <c r="S114" s="63"/>
      <c r="T114" s="63"/>
    </row>
  </sheetData>
  <autoFilter ref="B9:V94" xr:uid="{92E93DAC-E7B1-9942-9B42-CC5F475903C1}"/>
  <mergeCells count="270">
    <mergeCell ref="T51:T52"/>
    <mergeCell ref="U51:U52"/>
    <mergeCell ref="V51:V52"/>
    <mergeCell ref="B59:B60"/>
    <mergeCell ref="T59:T60"/>
    <mergeCell ref="U59:U60"/>
    <mergeCell ref="V57:V58"/>
    <mergeCell ref="B61:B62"/>
    <mergeCell ref="C44:C45"/>
    <mergeCell ref="C42:C43"/>
    <mergeCell ref="D42:D43"/>
    <mergeCell ref="V42:V43"/>
    <mergeCell ref="S42:S43"/>
    <mergeCell ref="B51:B52"/>
    <mergeCell ref="C59:C60"/>
    <mergeCell ref="D59:D60"/>
    <mergeCell ref="S59:S60"/>
    <mergeCell ref="C68:C69"/>
    <mergeCell ref="B42:B43"/>
    <mergeCell ref="B35:B36"/>
    <mergeCell ref="B88:B89"/>
    <mergeCell ref="B64:B65"/>
    <mergeCell ref="B66:B67"/>
    <mergeCell ref="B68:B69"/>
    <mergeCell ref="B70:B71"/>
    <mergeCell ref="B86:B87"/>
    <mergeCell ref="B84:B85"/>
    <mergeCell ref="B37:B38"/>
    <mergeCell ref="B39:B40"/>
    <mergeCell ref="B90:B91"/>
    <mergeCell ref="B44:B45"/>
    <mergeCell ref="B75:B76"/>
    <mergeCell ref="B77:B78"/>
    <mergeCell ref="B47:B48"/>
    <mergeCell ref="B49:B50"/>
    <mergeCell ref="B55:B56"/>
    <mergeCell ref="B57:B58"/>
    <mergeCell ref="D86:D87"/>
    <mergeCell ref="S86:S87"/>
    <mergeCell ref="T86:T87"/>
    <mergeCell ref="U86:U87"/>
    <mergeCell ref="V86:V87"/>
    <mergeCell ref="V77:V78"/>
    <mergeCell ref="D79:D80"/>
    <mergeCell ref="S79:S80"/>
    <mergeCell ref="T79:T80"/>
    <mergeCell ref="U79:U80"/>
    <mergeCell ref="C72:C73"/>
    <mergeCell ref="C75:C76"/>
    <mergeCell ref="C70:C71"/>
    <mergeCell ref="B82:B83"/>
    <mergeCell ref="B72:B73"/>
    <mergeCell ref="C79:C80"/>
    <mergeCell ref="B79:B80"/>
    <mergeCell ref="C77:C78"/>
    <mergeCell ref="C66:C67"/>
    <mergeCell ref="C61:C62"/>
    <mergeCell ref="C55:C56"/>
    <mergeCell ref="C51:C52"/>
    <mergeCell ref="B23:B24"/>
    <mergeCell ref="B25:B26"/>
    <mergeCell ref="B27:B28"/>
    <mergeCell ref="B29:B30"/>
    <mergeCell ref="B31:B32"/>
    <mergeCell ref="B33:B34"/>
    <mergeCell ref="B21:B22"/>
    <mergeCell ref="C14:C15"/>
    <mergeCell ref="D14:D15"/>
    <mergeCell ref="C21:C22"/>
    <mergeCell ref="D21:D22"/>
    <mergeCell ref="C16:C17"/>
    <mergeCell ref="B16:B17"/>
    <mergeCell ref="D16:D17"/>
    <mergeCell ref="V39:V40"/>
    <mergeCell ref="V88:V89"/>
    <mergeCell ref="C84:C85"/>
    <mergeCell ref="D84:D85"/>
    <mergeCell ref="S84:S85"/>
    <mergeCell ref="T84:T85"/>
    <mergeCell ref="U84:U85"/>
    <mergeCell ref="C86:C87"/>
    <mergeCell ref="C88:C89"/>
    <mergeCell ref="D88:D89"/>
    <mergeCell ref="D77:D78"/>
    <mergeCell ref="S77:S78"/>
    <mergeCell ref="T77:T78"/>
    <mergeCell ref="U77:U78"/>
    <mergeCell ref="C82:C83"/>
    <mergeCell ref="D82:D83"/>
    <mergeCell ref="V75:V76"/>
    <mergeCell ref="V72:V73"/>
    <mergeCell ref="U72:U73"/>
    <mergeCell ref="S88:S89"/>
    <mergeCell ref="T88:T89"/>
    <mergeCell ref="U88:U89"/>
    <mergeCell ref="V84:V85"/>
    <mergeCell ref="V79:V80"/>
    <mergeCell ref="D72:D73"/>
    <mergeCell ref="S72:S73"/>
    <mergeCell ref="T72:T73"/>
    <mergeCell ref="S75:S76"/>
    <mergeCell ref="T75:T76"/>
    <mergeCell ref="U75:U76"/>
    <mergeCell ref="D75:D76"/>
    <mergeCell ref="V66:V67"/>
    <mergeCell ref="S82:S83"/>
    <mergeCell ref="T82:T83"/>
    <mergeCell ref="U82:U83"/>
    <mergeCell ref="V82:V83"/>
    <mergeCell ref="D68:D69"/>
    <mergeCell ref="S70:S71"/>
    <mergeCell ref="T70:T71"/>
    <mergeCell ref="U70:U71"/>
    <mergeCell ref="V70:V71"/>
    <mergeCell ref="V68:V69"/>
    <mergeCell ref="D70:D71"/>
    <mergeCell ref="D64:D65"/>
    <mergeCell ref="S64:S65"/>
    <mergeCell ref="T64:T65"/>
    <mergeCell ref="U64:U65"/>
    <mergeCell ref="V64:V65"/>
    <mergeCell ref="D66:D67"/>
    <mergeCell ref="S66:S67"/>
    <mergeCell ref="T66:T67"/>
    <mergeCell ref="S68:S69"/>
    <mergeCell ref="T68:T69"/>
    <mergeCell ref="U68:U69"/>
    <mergeCell ref="U66:U67"/>
    <mergeCell ref="C64:C65"/>
    <mergeCell ref="S57:S58"/>
    <mergeCell ref="T57:T58"/>
    <mergeCell ref="U57:U58"/>
    <mergeCell ref="D61:D62"/>
    <mergeCell ref="S61:S62"/>
    <mergeCell ref="V61:V62"/>
    <mergeCell ref="V44:V45"/>
    <mergeCell ref="D55:D56"/>
    <mergeCell ref="S55:S56"/>
    <mergeCell ref="T55:T56"/>
    <mergeCell ref="U55:U56"/>
    <mergeCell ref="V55:V56"/>
    <mergeCell ref="D49:D50"/>
    <mergeCell ref="D51:D52"/>
    <mergeCell ref="S51:S52"/>
    <mergeCell ref="U49:U50"/>
    <mergeCell ref="V49:V50"/>
    <mergeCell ref="V90:V91"/>
    <mergeCell ref="C47:C48"/>
    <mergeCell ref="D47:D48"/>
    <mergeCell ref="S47:S48"/>
    <mergeCell ref="T47:T48"/>
    <mergeCell ref="U47:U48"/>
    <mergeCell ref="T61:T62"/>
    <mergeCell ref="U61:U62"/>
    <mergeCell ref="V47:V48"/>
    <mergeCell ref="C49:C50"/>
    <mergeCell ref="V59:V60"/>
    <mergeCell ref="C90:C91"/>
    <mergeCell ref="D90:D91"/>
    <mergeCell ref="S90:S91"/>
    <mergeCell ref="T90:T91"/>
    <mergeCell ref="U90:U91"/>
    <mergeCell ref="S49:S50"/>
    <mergeCell ref="T49:T50"/>
    <mergeCell ref="S44:S45"/>
    <mergeCell ref="T44:T45"/>
    <mergeCell ref="U44:U45"/>
    <mergeCell ref="C57:C58"/>
    <mergeCell ref="D57:D58"/>
    <mergeCell ref="C39:C40"/>
    <mergeCell ref="D39:D40"/>
    <mergeCell ref="S39:S40"/>
    <mergeCell ref="T39:T40"/>
    <mergeCell ref="U39:U40"/>
    <mergeCell ref="D44:D45"/>
    <mergeCell ref="T42:T43"/>
    <mergeCell ref="U42:U43"/>
    <mergeCell ref="C33:C34"/>
    <mergeCell ref="D33:D34"/>
    <mergeCell ref="S33:S34"/>
    <mergeCell ref="T33:T34"/>
    <mergeCell ref="U33:U34"/>
    <mergeCell ref="S37:S38"/>
    <mergeCell ref="T37:T38"/>
    <mergeCell ref="U37:U38"/>
    <mergeCell ref="D37:D38"/>
    <mergeCell ref="C37:C38"/>
    <mergeCell ref="C29:C30"/>
    <mergeCell ref="D29:D30"/>
    <mergeCell ref="S29:S30"/>
    <mergeCell ref="T29:T30"/>
    <mergeCell ref="U29:U30"/>
    <mergeCell ref="C31:C32"/>
    <mergeCell ref="D31:D32"/>
    <mergeCell ref="U16:U17"/>
    <mergeCell ref="S31:S32"/>
    <mergeCell ref="T31:T32"/>
    <mergeCell ref="U31:U32"/>
    <mergeCell ref="U18:U19"/>
    <mergeCell ref="T21:T22"/>
    <mergeCell ref="T14:T15"/>
    <mergeCell ref="S14:S15"/>
    <mergeCell ref="B14:B15"/>
    <mergeCell ref="B18:B19"/>
    <mergeCell ref="S18:S19"/>
    <mergeCell ref="T18:T19"/>
    <mergeCell ref="S16:S17"/>
    <mergeCell ref="T16:T17"/>
    <mergeCell ref="C18:C19"/>
    <mergeCell ref="D18:D19"/>
    <mergeCell ref="U10:U11"/>
    <mergeCell ref="C12:C13"/>
    <mergeCell ref="D12:D13"/>
    <mergeCell ref="S12:S13"/>
    <mergeCell ref="U12:U13"/>
    <mergeCell ref="T7:T8"/>
    <mergeCell ref="D10:D11"/>
    <mergeCell ref="M7:O7"/>
    <mergeCell ref="P7:R7"/>
    <mergeCell ref="C10:C11"/>
    <mergeCell ref="S10:S11"/>
    <mergeCell ref="T10:T11"/>
    <mergeCell ref="S7:S8"/>
    <mergeCell ref="B7:E7"/>
    <mergeCell ref="F7:I7"/>
    <mergeCell ref="J7:L7"/>
    <mergeCell ref="V16:V17"/>
    <mergeCell ref="V18:V19"/>
    <mergeCell ref="V21:V22"/>
    <mergeCell ref="V23:V24"/>
    <mergeCell ref="V31:V32"/>
    <mergeCell ref="V35:V36"/>
    <mergeCell ref="S35:S36"/>
    <mergeCell ref="S27:S28"/>
    <mergeCell ref="T27:T28"/>
    <mergeCell ref="U27:U28"/>
    <mergeCell ref="U25:U26"/>
    <mergeCell ref="C35:C36"/>
    <mergeCell ref="D35:D36"/>
    <mergeCell ref="D25:D26"/>
    <mergeCell ref="S25:S26"/>
    <mergeCell ref="T25:T26"/>
    <mergeCell ref="C23:C24"/>
    <mergeCell ref="D23:D24"/>
    <mergeCell ref="S23:S24"/>
    <mergeCell ref="U21:U22"/>
    <mergeCell ref="C25:C26"/>
    <mergeCell ref="C27:C28"/>
    <mergeCell ref="D27:D28"/>
    <mergeCell ref="S21:S22"/>
    <mergeCell ref="V7:V8"/>
    <mergeCell ref="V10:V11"/>
    <mergeCell ref="T35:T36"/>
    <mergeCell ref="V12:V13"/>
    <mergeCell ref="V33:V34"/>
    <mergeCell ref="T12:T13"/>
    <mergeCell ref="T23:T24"/>
    <mergeCell ref="U23:U24"/>
    <mergeCell ref="U7:U8"/>
    <mergeCell ref="V14:V15"/>
    <mergeCell ref="B12:B13"/>
    <mergeCell ref="B10:B11"/>
    <mergeCell ref="T1:U1"/>
    <mergeCell ref="B94:U94"/>
    <mergeCell ref="V37:V38"/>
    <mergeCell ref="V25:V26"/>
    <mergeCell ref="V27:V28"/>
    <mergeCell ref="V29:V30"/>
    <mergeCell ref="U14:U15"/>
    <mergeCell ref="U35:U36"/>
  </mergeCells>
  <phoneticPr fontId="1" type="noConversion"/>
  <pageMargins left="0.39370078740157499" right="0.196850393700787" top="0.196850393700787" bottom="0.196850393700787" header="0.511811023622047" footer="0.511811023622047"/>
  <pageSetup paperSize="9" scale="86" orientation="landscape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Arhive</vt:lpstr>
      <vt:lpstr>Calc</vt:lpstr>
      <vt:lpstr>Calc!Заголовки_для_печати</vt:lpstr>
      <vt:lpstr>Calc!Область_печати</vt:lpstr>
    </vt:vector>
  </TitlesOfParts>
  <Company>CDB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1701</dc:creator>
  <cp:lastModifiedBy>Timur</cp:lastModifiedBy>
  <cp:lastPrinted>2023-01-27T13:06:15Z</cp:lastPrinted>
  <dcterms:created xsi:type="dcterms:W3CDTF">2009-02-03T07:26:38Z</dcterms:created>
  <dcterms:modified xsi:type="dcterms:W3CDTF">2025-11-07T10:26:31Z</dcterms:modified>
</cp:coreProperties>
</file>